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Targets" sheetId="2" state="visible" r:id="rId4"/>
    <sheet name="Filing Timeline" sheetId="3" state="visible" r:id="rId5"/>
    <sheet name="Response Protocol" sheetId="4" state="visible" r:id="rId6"/>
    <sheet name="Agenci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<sst xmlns="http://schemas.openxmlformats.org/spreadsheetml/2006/main" count="596" uniqueCount="398">
  <si>
    <t xml:space="preserve">THE 45 FOIA CAMPAIGN</t>
  </si>
  <si>
    <t xml:space="preserve">Operational tracker — Kai Price</t>
  </si>
  <si>
    <t xml:space="preserve">COUNTS</t>
  </si>
  <si>
    <t xml:space="preserve">Total targets</t>
  </si>
  <si>
    <t xml:space="preserve">In Draft</t>
  </si>
  <si>
    <t xml:space="preserve">Filed</t>
  </si>
  <si>
    <t xml:space="preserve">Acknowledged</t>
  </si>
  <si>
    <t xml:space="preserve">In Appeal</t>
  </si>
  <si>
    <t xml:space="preserve">Released</t>
  </si>
  <si>
    <t xml:space="preserve">Refused</t>
  </si>
  <si>
    <t xml:space="preserve">Complete</t>
  </si>
  <si>
    <t xml:space="preserve">BY PRIORITY</t>
  </si>
  <si>
    <t xml:space="preserve">A — Tier 1</t>
  </si>
  <si>
    <t xml:space="preserve">B — Tier 2</t>
  </si>
  <si>
    <t xml:space="preserve">C — Tier 3</t>
  </si>
  <si>
    <t xml:space="preserve">OPERATIONAL NOTE</t>
  </si>
  <si>
    <t xml:space="preserve">You are running a 9-month campaign. The Filing Timeline sheet gives you the wave schedule. The Response Protocol sheet tells you exactly what to do with each agency reply. Status field uses these exact values: Draft, Filed, Acknowledged, Appeal, Released, Refused, Complete. Update the Status column as responses arrive.</t>
  </si>
  <si>
    <t xml:space="preserve">ID</t>
  </si>
  <si>
    <t xml:space="preserve">Priority</t>
  </si>
  <si>
    <t xml:space="preserve">Subject</t>
  </si>
  <si>
    <t xml:space="preserve">Target Agency</t>
  </si>
  <si>
    <t xml:space="preserve">Records Requested</t>
  </si>
  <si>
    <t xml:space="preserve">Legal Authority</t>
  </si>
  <si>
    <t xml:space="preserve">Status</t>
  </si>
  <si>
    <t xml:space="preserve">Filing Date</t>
  </si>
  <si>
    <t xml:space="preserve">Tracking #</t>
  </si>
  <si>
    <t xml:space="preserve">Expected Outcome</t>
  </si>
  <si>
    <t xml:space="preserve">Next Action on Denial</t>
  </si>
  <si>
    <t xml:space="preserve">Notes</t>
  </si>
  <si>
    <t xml:space="preserve">T1-01</t>
  </si>
  <si>
    <t xml:space="preserve">A</t>
  </si>
  <si>
    <t xml:space="preserve">Pentagon 9/11 camera footage</t>
  </si>
  <si>
    <t xml:space="preserve">DOD / Pentagon Force Protection Agency</t>
  </si>
  <si>
    <t xml:space="preserve">All security camera footage from Pentagon and surrounding federal facilities recording the impact site on 9/11/2001, 0900-1000 EST, including specifically the Sheraton, Citgo, and Doubletree confiscated tapes</t>
  </si>
  <si>
    <t xml:space="preserve">5 U.S.C. § 552</t>
  </si>
  <si>
    <t xml:space="preserve">Draft</t>
  </si>
  <si>
    <t xml:space="preserve">Partial release or refusal citing exemption 7</t>
  </si>
  <si>
    <t xml:space="preserve">Administrative appeal then FOIA litigation</t>
  </si>
  <si>
    <t xml:space="preserve">T1-02</t>
  </si>
  <si>
    <t xml:space="preserve">Saudi-9/11 connection FBI assessment (unredacted)</t>
  </si>
  <si>
    <t xml:space="preserve">FBI</t>
  </si>
  <si>
    <t xml:space="preserve">Unredacted version of the FBI internal assessment of Saudi government connections to the 9/11 hijackers, released in redacted form Sept 2021 via Moussaoui v. KSA</t>
  </si>
  <si>
    <t xml:space="preserve">Partial release with Vaughn index</t>
  </si>
  <si>
    <t xml:space="preserve">Appeal then DOJ Office of Information Policy</t>
  </si>
  <si>
    <t xml:space="preserve">T1-03</t>
  </si>
  <si>
    <t xml:space="preserve">NIST WTC7 modeling input data</t>
  </si>
  <si>
    <t xml:space="preserve">NIST</t>
  </si>
  <si>
    <t xml:space="preserve">All input data, parameters, and model files used in NIST NCSTAR 1A (2008) computer simulations of WTC Building 7 collapse</t>
  </si>
  <si>
    <t xml:space="preserve">Refusal citing public safety exemption</t>
  </si>
  <si>
    <t xml:space="preserve">Appeal — argue exemption is improperly invoked</t>
  </si>
  <si>
    <t xml:space="preserve">NIST has refused multiple prior requests</t>
  </si>
  <si>
    <t xml:space="preserve">T1-04</t>
  </si>
  <si>
    <t xml:space="preserve">DEA Israeli art student surveillance report</t>
  </si>
  <si>
    <t xml:space="preserve">DEA</t>
  </si>
  <si>
    <t xml:space="preserve">Complete unredacted Office of Security Programs report dated March 2001 documenting Israeli citizens posing as art students surveilling federal personnel; all referenced exhibits and witness statements</t>
  </si>
  <si>
    <t xml:space="preserve">Heavy redaction citing foreign relations</t>
  </si>
  <si>
    <t xml:space="preserve">Appeal then sponsor congressional inquiry</t>
  </si>
  <si>
    <t xml:space="preserve">T1-05</t>
  </si>
  <si>
    <t xml:space="preserve">Urban Moving Systems FBI investigation</t>
  </si>
  <si>
    <t xml:space="preserve">Complete FBI investigative file on Urban Moving Systems and its principals including Dominik Suter, related to events of Sept 11 2001; the 71-day detention records of the five Israeli nationals</t>
  </si>
  <si>
    <t xml:space="preserve">Partial release</t>
  </si>
  <si>
    <t xml:space="preserve">Appeal then litigation</t>
  </si>
  <si>
    <t xml:space="preserve">T1-06</t>
  </si>
  <si>
    <t xml:space="preserve">Pentagon audit findings — unsupported transactions</t>
  </si>
  <si>
    <t xml:space="preserve">DOD OIG</t>
  </si>
  <si>
    <t xml:space="preserve">Detailed line-item breakdown of unsupported transactions identified in the most recent DOD financial audits (FY2018-FY2024)</t>
  </si>
  <si>
    <t xml:space="preserve">Likely partial release — much already public</t>
  </si>
  <si>
    <t xml:space="preserve">Appeal if denied — strong public interest argument</t>
  </si>
  <si>
    <t xml:space="preserve">T1-07</t>
  </si>
  <si>
    <t xml:space="preserve">Section 702 FBI improper search records</t>
  </si>
  <si>
    <t xml:space="preserve">ODNI / FBI</t>
  </si>
  <si>
    <t xml:space="preserve">Specific records relating to the 278,000+ improper Section 702 database searches identified in declassified FISC opinions; the FBI internal review documents</t>
  </si>
  <si>
    <t xml:space="preserve">Heavy national security redactions</t>
  </si>
  <si>
    <t xml:space="preserve">Appeal then engage Brennan Center for Justice</t>
  </si>
  <si>
    <t xml:space="preserve">T1-08</t>
  </si>
  <si>
    <t xml:space="preserve">CIA-Contra-cocaine: Volume I of OIG report</t>
  </si>
  <si>
    <t xml:space="preserve">CIA</t>
  </si>
  <si>
    <t xml:space="preserve">Volume I of the 1998 CIA Inspector General Report on Allegations of Connections Between CIA and the Contras in Cocaine Trafficking (Vol II is public)</t>
  </si>
  <si>
    <t xml:space="preserve">Refusal — likely classified</t>
  </si>
  <si>
    <t xml:space="preserve">Mandatory Declassification Review filing</t>
  </si>
  <si>
    <t xml:space="preserve">Vol II at cia.gov/readingroom</t>
  </si>
  <si>
    <t xml:space="preserve">T2-09</t>
  </si>
  <si>
    <t xml:space="preserve">B</t>
  </si>
  <si>
    <t xml:space="preserve">Anthrax case — Bruce Ivins evidentiary basis</t>
  </si>
  <si>
    <t xml:space="preserve">All FBI laboratory analyses underlying the determination that Bruce Ivins was the sole perpetrator of the 2001 anthrax attacks, including the National Academy of Sciences 2011 review correspondence</t>
  </si>
  <si>
    <t xml:space="preserve">Appeal</t>
  </si>
  <si>
    <t xml:space="preserve">T2-10</t>
  </si>
  <si>
    <t xml:space="preserve">Gary Webb FBI surveillance records</t>
  </si>
  <si>
    <t xml:space="preserve">All FBI records concerning San Jose Mercury News journalist Gary Webb (1955-2004), including surveillance, source protection actions, and any post-mortem records</t>
  </si>
  <si>
    <t xml:space="preserve">5 U.S.C. § 552 / Privacy Act (estate)</t>
  </si>
  <si>
    <t xml:space="preserve">Privacy Act exemption initially</t>
  </si>
  <si>
    <t xml:space="preserve">Appeal with deceased-person waiver</t>
  </si>
  <si>
    <t xml:space="preserve">T2-11</t>
  </si>
  <si>
    <t xml:space="preserve">Suchir Balaji death investigation</t>
  </si>
  <si>
    <t xml:space="preserve">SFPD / SF Medical Examiner</t>
  </si>
  <si>
    <t xml:space="preserve">Complete investigation file on the November 26, 2024 death of Suchir Balaji including scene photos, witness statements, autopsy and toxicology raw data</t>
  </si>
  <si>
    <t xml:space="preserve">California Public Records Act</t>
  </si>
  <si>
    <t xml:space="preserve">Privacy and ongoing-investigation refusals</t>
  </si>
  <si>
    <t xml:space="preserve">Appeal under CPRA</t>
  </si>
  <si>
    <t xml:space="preserve">STATE not federal — different statute</t>
  </si>
  <si>
    <t xml:space="preserve">T2-12</t>
  </si>
  <si>
    <t xml:space="preserve">Epstein DOJ-FBI internal review</t>
  </si>
  <si>
    <t xml:space="preserve">DOJ / FBI</t>
  </si>
  <si>
    <t xml:space="preserve">All records cited or referenced in the July 2025 DOJ-FBI joint memorandum on the Epstein investigation; internal communications between July 2024 and July 2025</t>
  </si>
  <si>
    <t xml:space="preserve">Substantial release with redactions</t>
  </si>
  <si>
    <t xml:space="preserve">Appeal redactions specifically</t>
  </si>
  <si>
    <t xml:space="preserve">T2-13</t>
  </si>
  <si>
    <t xml:space="preserve">Boeing whistleblower deaths — Barnett</t>
  </si>
  <si>
    <t xml:space="preserve">All FBI records concerning John Barnett (d. March 9, 2024); any federal investigation files into his death</t>
  </si>
  <si>
    <t xml:space="preserve">No-records response likely</t>
  </si>
  <si>
    <t xml:space="preserve">Appeal and document the absence</t>
  </si>
  <si>
    <t xml:space="preserve">T2-14</t>
  </si>
  <si>
    <t xml:space="preserve">David Kelly death — US records</t>
  </si>
  <si>
    <t xml:space="preserve">DOD / State</t>
  </si>
  <si>
    <t xml:space="preserve">All records of communication between US agencies and UK government concerning David Kelly between June 2003 and his death in July 2003</t>
  </si>
  <si>
    <t xml:space="preserve">Refusal — foreign government information</t>
  </si>
  <si>
    <t xml:space="preserve">Limited appeal options</t>
  </si>
  <si>
    <t xml:space="preserve">UK FOIA likely more productive</t>
  </si>
  <si>
    <t xml:space="preserve">T2-15</t>
  </si>
  <si>
    <t xml:space="preserve">JFK records — final unreleased holdings</t>
  </si>
  <si>
    <t xml:space="preserve">NARA / Assassination Records Review Board successor</t>
  </si>
  <si>
    <t xml:space="preserve">All remaining classified or redacted records covered by the 1992 JFK Records Act not yet released to the public</t>
  </si>
  <si>
    <t xml:space="preserve">JFK Records Act 1992</t>
  </si>
  <si>
    <t xml:space="preserve">Continued partial release</t>
  </si>
  <si>
    <t xml:space="preserve">Public records advocacy</t>
  </si>
  <si>
    <t xml:space="preserve">Separate statute from FOIA</t>
  </si>
  <si>
    <t xml:space="preserve">T2-16</t>
  </si>
  <si>
    <t xml:space="preserve">Tulsa 1921 — federal records</t>
  </si>
  <si>
    <t xml:space="preserve">NARA / Army</t>
  </si>
  <si>
    <t xml:space="preserve">Any federal records concerning the Tulsa Race Massacre of May 31-June 1, 1921, including Army National Guard records, federal aviation records, and any contemporaneous federal investigation</t>
  </si>
  <si>
    <t xml:space="preserve">Sparse records likely</t>
  </si>
  <si>
    <t xml:space="preserve">Appeal — document gaps</t>
  </si>
  <si>
    <t xml:space="preserve">T2-17</t>
  </si>
  <si>
    <t xml:space="preserve">Operation Northwoods — implementation correspondence</t>
  </si>
  <si>
    <t xml:space="preserve">NARA / DOD</t>
  </si>
  <si>
    <t xml:space="preserve">All correspondence between the Joint Chiefs of Staff, Secretary of Defense McNamara, and the White House between January 1962 and April 1962 concerning the Northwoods proposal</t>
  </si>
  <si>
    <t xml:space="preserve">Substantial release likely — old records</t>
  </si>
  <si>
    <t xml:space="preserve">Appeal any redactions</t>
  </si>
  <si>
    <t xml:space="preserve">T2-18</t>
  </si>
  <si>
    <t xml:space="preserve">MKULTRA — surviving subproject files</t>
  </si>
  <si>
    <t xml:space="preserve">All surviving MKULTRA records not previously released, including the 1977 Senate hearings supplementary materials</t>
  </si>
  <si>
    <t xml:space="preserve">Most records destroyed 1973</t>
  </si>
  <si>
    <t xml:space="preserve">Document the destruction; appeal anything withheld</t>
  </si>
  <si>
    <t xml:space="preserve">T2-19</t>
  </si>
  <si>
    <t xml:space="preserve">COINTELPRO — full unreleased holdings</t>
  </si>
  <si>
    <t xml:space="preserve">All COINTELPRO records not released through the Church Committee or subsequent FOIA litigation, including operations against the American Indian Movement and the Puerto Rican independence movement</t>
  </si>
  <si>
    <t xml:space="preserve">T2-20</t>
  </si>
  <si>
    <t xml:space="preserve">Tuskegee — internal PHS deliberations</t>
  </si>
  <si>
    <t xml:space="preserve">HHS / CDC</t>
  </si>
  <si>
    <t xml:space="preserve">All Public Health Service internal deliberations between 1947 (penicillin standard) and 1972 (study termination) regarding continuation of the Tuskegee study</t>
  </si>
  <si>
    <t xml:space="preserve">Substantial release</t>
  </si>
  <si>
    <t xml:space="preserve">T3-21</t>
  </si>
  <si>
    <t xml:space="preserve">C</t>
  </si>
  <si>
    <t xml:space="preserve">Operation Cyclone — Carter finding</t>
  </si>
  <si>
    <t xml:space="preserve">CIA / NARA</t>
  </si>
  <si>
    <t xml:space="preserve">The July 3, 1979 Presidential Finding authorizing covert aid to anti-Soviet forces in Afghanistan; supporting NSC and CIA memoranda</t>
  </si>
  <si>
    <t xml:space="preserve">5 U.S.C. § 552 / MDR</t>
  </si>
  <si>
    <t xml:space="preserve">MDR review</t>
  </si>
  <si>
    <t xml:space="preserve">Mandatory Declassification Review</t>
  </si>
  <si>
    <t xml:space="preserve">T3-22</t>
  </si>
  <si>
    <t xml:space="preserve">Iran 1953 coup — full Ajax file</t>
  </si>
  <si>
    <t xml:space="preserve">All Operation Ajax records beyond what was released August 2013; cable traffic between Tehran station and Washington August 14-22, 1953</t>
  </si>
  <si>
    <t xml:space="preserve">Substantial release likely</t>
  </si>
  <si>
    <t xml:space="preserve">T3-23</t>
  </si>
  <si>
    <t xml:space="preserve">Guatemala 1954 — PBSUCCESS implementation</t>
  </si>
  <si>
    <t xml:space="preserve">Operation PBSUCCESS records concerning relationships with United Fruit Company executives and the Dulles brothers between 1952 and 1954</t>
  </si>
  <si>
    <t xml:space="preserve">T3-24</t>
  </si>
  <si>
    <t xml:space="preserve">USS Liberty — political-level records</t>
  </si>
  <si>
    <t xml:space="preserve">NARA / White House records</t>
  </si>
  <si>
    <t xml:space="preserve">All Johnson White House records concerning the June 8, 1967 attack on USS Liberty in the seventy-two hours following the attack; recordings, memoranda, and communications with Israeli government</t>
  </si>
  <si>
    <t xml:space="preserve">Substantial release — old records</t>
  </si>
  <si>
    <t xml:space="preserve">T3-25</t>
  </si>
  <si>
    <t xml:space="preserve">Iraq War WMD — pre-invasion intelligence dissent</t>
  </si>
  <si>
    <t xml:space="preserve">CIA / DIA / State INR</t>
  </si>
  <si>
    <t xml:space="preserve">All formal dissent documents from intelligence analysts between October 2002 and March 2003 regarding the Iraqi WMD intelligence assessments</t>
  </si>
  <si>
    <t xml:space="preserve">Heavy classification</t>
  </si>
  <si>
    <t xml:space="preserve">Appeal — strong public interest</t>
  </si>
  <si>
    <t xml:space="preserve">T3-26</t>
  </si>
  <si>
    <t xml:space="preserve">Sackler-Purdue — DOJ deferred prosecution memos</t>
  </si>
  <si>
    <t xml:space="preserve">DOJ</t>
  </si>
  <si>
    <t xml:space="preserve">Internal DOJ memoranda regarding the 2007 Purdue Pharma settlement and the 2020 plea agreement; any communications between DOJ and Sackler family attorneys</t>
  </si>
  <si>
    <t xml:space="preserve">T3-27</t>
  </si>
  <si>
    <t xml:space="preserve">Trans fat — FDA regulatory delay</t>
  </si>
  <si>
    <t xml:space="preserve">FDA</t>
  </si>
  <si>
    <t xml:space="preserve">All FDA internal records between 1990 (Mensink-Katan NEJM) and 2015 (final determination) documenting the regulatory decision-making on partially hydrogenated oils</t>
  </si>
  <si>
    <t xml:space="preserve">T3-28</t>
  </si>
  <si>
    <t xml:space="preserve">White phosphorus Fallujah — rules of engagement</t>
  </si>
  <si>
    <t xml:space="preserve">DOD / Army</t>
  </si>
  <si>
    <t xml:space="preserve">Rules of engagement and after-action reports concerning white phosphorus deployment in Fallujah November 2004</t>
  </si>
  <si>
    <t xml:space="preserve">T3-29</t>
  </si>
  <si>
    <t xml:space="preserve">Diana — US intelligence records</t>
  </si>
  <si>
    <t xml:space="preserve">NSA / CIA / State</t>
  </si>
  <si>
    <t xml:space="preserve">All US intelligence and diplomatic records concerning Diana Princess of Wales between January 1996 and her death August 31, 1997</t>
  </si>
  <si>
    <t xml:space="preserve">Foreign relations exemption likely</t>
  </si>
  <si>
    <t xml:space="preserve">T3-30</t>
  </si>
  <si>
    <t xml:space="preserve">Nashville bombing — full FBI file</t>
  </si>
  <si>
    <t xml:space="preserve">Complete FBI investigative file on Anthony Quinn Warner and the December 25, 2020 Nashville bombing; all communications regarding the AT&amp;T facility's role</t>
  </si>
  <si>
    <t xml:space="preserve">Partial release — case closed</t>
  </si>
  <si>
    <t xml:space="preserve">T3-31</t>
  </si>
  <si>
    <t xml:space="preserve">Maxwell — full client list documentation</t>
  </si>
  <si>
    <t xml:space="preserve">All records concerning individuals identified as clients, customers, or associates of Jeffrey Epstein and Ghislaine Maxwell in the 2019-2021 prosecutions</t>
  </si>
  <si>
    <t xml:space="preserve">Privacy exemption refusals</t>
  </si>
  <si>
    <t xml:space="preserve">Appeal — strong public interest argument</t>
  </si>
  <si>
    <t xml:space="preserve">T3-32</t>
  </si>
  <si>
    <t xml:space="preserve">Building 7 BBC pre-collapse footage source</t>
  </si>
  <si>
    <t xml:space="preserve">State Department</t>
  </si>
  <si>
    <t xml:space="preserve">All US State Department communications with the BBC and UK government on the day of September 11, 2001 concerning the World Trade Center complex</t>
  </si>
  <si>
    <t xml:space="preserve">No-records likely</t>
  </si>
  <si>
    <t xml:space="preserve">Document the absence</t>
  </si>
  <si>
    <t xml:space="preserve">T3-33</t>
  </si>
  <si>
    <t xml:space="preserve">Funding ISIS — DOD knowledge of Gulf state support</t>
  </si>
  <si>
    <t xml:space="preserve">DOD and State Department records between 2012 and 2015 documenting knowledge of Qatari and Saudi support for opposition groups in Syria including those later identified as ISIS predecessors</t>
  </si>
  <si>
    <t xml:space="preserve">T3-34</t>
  </si>
  <si>
    <t xml:space="preserve">Hamas-Qatar containment — US awareness</t>
  </si>
  <si>
    <t xml:space="preserve">State / NSC</t>
  </si>
  <si>
    <t xml:space="preserve">US government records between 2012 and 2023 concerning Israeli government policy of permitting Qatari financial transfers to Hamas</t>
  </si>
  <si>
    <t xml:space="preserve">Foreign relations exemption</t>
  </si>
  <si>
    <t xml:space="preserve">T3-35</t>
  </si>
  <si>
    <t xml:space="preserve">RFK assassination — LA County coroner</t>
  </si>
  <si>
    <t xml:space="preserve">LA County Coroner / LAPD</t>
  </si>
  <si>
    <t xml:space="preserve">Complete Noguchi autopsy raw data and all LAPD investigative records concerning the June 1968 assassination of Robert F. Kennedy</t>
  </si>
  <si>
    <t xml:space="preserve">STATE jurisdiction</t>
  </si>
  <si>
    <t xml:space="preserve">T3-36</t>
  </si>
  <si>
    <t xml:space="preserve">MLK — DOJ 2000 investigation backup</t>
  </si>
  <si>
    <t xml:space="preserve">All evidence and witness records underlying the DOJ 2000 report on the King v. Jowers jury verdict</t>
  </si>
  <si>
    <t xml:space="preserve">T3-37</t>
  </si>
  <si>
    <t xml:space="preserve">Facebook Papers — federal investigation records</t>
  </si>
  <si>
    <t xml:space="preserve">FTC / SEC</t>
  </si>
  <si>
    <t xml:space="preserve">All FTC and SEC investigative records concerning the disclosures by Frances Haugen in October 2021</t>
  </si>
  <si>
    <t xml:space="preserve">Ongoing-investigation exemption initially</t>
  </si>
  <si>
    <t xml:space="preserve">Refile after investigation closure</t>
  </si>
  <si>
    <t xml:space="preserve">T3-38</t>
  </si>
  <si>
    <t xml:space="preserve">Skripal — US records on Salisbury</t>
  </si>
  <si>
    <t xml:space="preserve">FBI / State</t>
  </si>
  <si>
    <t xml:space="preserve">All US records concerning the March 2018 Salisbury poisoning and the death of Dawn Sturgess</t>
  </si>
  <si>
    <t xml:space="preserve">T3-39</t>
  </si>
  <si>
    <t xml:space="preserve">Lavon Affair — US contemporaneous records</t>
  </si>
  <si>
    <t xml:space="preserve">NARA / State</t>
  </si>
  <si>
    <t xml:space="preserve">All US diplomatic records concerning Operation Susannah and the Lavon Affair, July 1954 through 1956</t>
  </si>
  <si>
    <t xml:space="preserve">T3-40</t>
  </si>
  <si>
    <t xml:space="preserve">Netanyahu 2001 recording — US intelligence awareness</t>
  </si>
  <si>
    <t xml:space="preserve">CIA / NSA</t>
  </si>
  <si>
    <t xml:space="preserve">Any US intelligence records concerning the recorded 2001 statement by Benjamin Netanyahu published in Haaretz April 2008</t>
  </si>
  <si>
    <t xml:space="preserve">Refusal likely</t>
  </si>
  <si>
    <t xml:space="preserve">Document the refusal</t>
  </si>
  <si>
    <t xml:space="preserve">T3-41</t>
  </si>
  <si>
    <t xml:space="preserve">9/11 put options — SEC investigation</t>
  </si>
  <si>
    <t xml:space="preserve">SEC</t>
  </si>
  <si>
    <t xml:space="preserve">Complete SEC investigation records concerning the unusual put option trading in United Airlines, American Airlines, and other affected stocks during September 6-10, 2001</t>
  </si>
  <si>
    <t xml:space="preserve">T3-42</t>
  </si>
  <si>
    <t xml:space="preserve">Israeli white phosphorus — US knowledge</t>
  </si>
  <si>
    <t xml:space="preserve">State / DOD</t>
  </si>
  <si>
    <t xml:space="preserve">US government records concerning Israeli use of white phosphorus in Gaza in 2008-2009 and October 2023; any US assessments of compliance with international law</t>
  </si>
  <si>
    <t xml:space="preserve">Foreign relations and classification</t>
  </si>
  <si>
    <t xml:space="preserve">T3-43</t>
  </si>
  <si>
    <t xml:space="preserve">28 Pages drafting and classification</t>
  </si>
  <si>
    <t xml:space="preserve">All internal records concerning the original drafting of the 28 Pages of the 9/11 Joint Inquiry final report, and the 2003 Bush decision to classify them</t>
  </si>
  <si>
    <t xml:space="preserve">T3-44</t>
  </si>
  <si>
    <t xml:space="preserve">Operation Paperclip — full subject files</t>
  </si>
  <si>
    <t xml:space="preserve">All remaining classified or redacted records concerning Operation Paperclip subjects, particularly those whose Nazi affiliations were known to American officials at the time of recruitment</t>
  </si>
  <si>
    <t xml:space="preserve">T3-45</t>
  </si>
  <si>
    <t xml:space="preserve">Plutonium files — full subject identification</t>
  </si>
  <si>
    <t xml:space="preserve">DOE</t>
  </si>
  <si>
    <t xml:space="preserve">All Department of Energy records identifying subjects of plutonium and other radiation experiments documented in Eileen Welsome's 1999 work</t>
  </si>
  <si>
    <t xml:space="preserve">Privacy issues</t>
  </si>
  <si>
    <t xml:space="preserve">Appeal — public interest</t>
  </si>
  <si>
    <t xml:space="preserve">FILING TIMELINE PROTOCOL</t>
  </si>
  <si>
    <t xml:space="preserve">The 45 requests are filed in waves of 5 per month over 9 months. This spacing matters for two reasons. First, the 20-business-day initial response window means filings cluster into review windows; if you file 45 at once, you get 45 simultaneous review cycles two months later that you cannot manage. Second, spacing builds pattern recognition with each agency that you are persistent, which improves the quality of responses over time.</t>
  </si>
  <si>
    <t xml:space="preserve">Month</t>
  </si>
  <si>
    <t xml:space="preserve">Wave</t>
  </si>
  <si>
    <t xml:space="preserve">IDs to File</t>
  </si>
  <si>
    <t xml:space="preserve">Theme</t>
  </si>
  <si>
    <t xml:space="preserve">Month 1</t>
  </si>
  <si>
    <t xml:space="preserve">Wave 1</t>
  </si>
  <si>
    <t xml:space="preserve">T1-01, T1-02, T1-03, T1-04, T1-05</t>
  </si>
  <si>
    <t xml:space="preserve">Tier 1 first half — September 11 records</t>
  </si>
  <si>
    <t xml:space="preserve">Pentagon footage, Saudi FBI assessment, NIST inputs, DEA art student report, Urban Moving Systems</t>
  </si>
  <si>
    <t xml:space="preserve">Month 2</t>
  </si>
  <si>
    <t xml:space="preserve">Wave 2</t>
  </si>
  <si>
    <t xml:space="preserve">T1-06, T1-07, T1-08, T2-09, T2-10</t>
  </si>
  <si>
    <t xml:space="preserve">Tier 1 second half + accountability</t>
  </si>
  <si>
    <t xml:space="preserve">Pentagon audits, 702 abuses, CIA Vol I, anthrax, Gary Webb</t>
  </si>
  <si>
    <t xml:space="preserve">Month 3</t>
  </si>
  <si>
    <t xml:space="preserve">Wave 3</t>
  </si>
  <si>
    <t xml:space="preserve">T2-11, T2-12, T2-13, T2-14, T2-15</t>
  </si>
  <si>
    <t xml:space="preserve">Whistleblower deaths + JFK</t>
  </si>
  <si>
    <t xml:space="preserve">Includes 2 STATE requests under California Public Records Act</t>
  </si>
  <si>
    <t xml:space="preserve">Month 4</t>
  </si>
  <si>
    <t xml:space="preserve">Wave 4</t>
  </si>
  <si>
    <t xml:space="preserve">T2-16, T2-17, T2-18, T2-19, T2-20</t>
  </si>
  <si>
    <t xml:space="preserve">Historical pattern — race, MKULTRA, COINTELPRO, Tuskegee</t>
  </si>
  <si>
    <t xml:space="preserve">Old records — should produce substantial release</t>
  </si>
  <si>
    <t xml:space="preserve">Month 5</t>
  </si>
  <si>
    <t xml:space="preserve">Wave 5</t>
  </si>
  <si>
    <t xml:space="preserve">T3-21, T3-22, T3-23, T3-24, T3-25</t>
  </si>
  <si>
    <t xml:space="preserve">Foreign policy historical record</t>
  </si>
  <si>
    <t xml:space="preserve">Cyclone, Iran 1953, Guatemala 1954, USS Liberty, Iraq WMD dissent</t>
  </si>
  <si>
    <t xml:space="preserve">Month 6</t>
  </si>
  <si>
    <t xml:space="preserve">Wave 6</t>
  </si>
  <si>
    <t xml:space="preserve">T3-26, T3-27, T3-28, T3-29, T3-30</t>
  </si>
  <si>
    <t xml:space="preserve">Healthcare, Diana, Nashville</t>
  </si>
  <si>
    <t xml:space="preserve">Sackler DOJ memos, FDA trans fat delay, Fallujah ROE, Diana, Warner</t>
  </si>
  <si>
    <t xml:space="preserve">Month 7</t>
  </si>
  <si>
    <t xml:space="preserve">Wave 7</t>
  </si>
  <si>
    <t xml:space="preserve">T3-31, T3-32, T3-33, T3-34, T3-35</t>
  </si>
  <si>
    <t xml:space="preserve">Maxwell, Building 7, ISIS funding, Hamas</t>
  </si>
  <si>
    <t xml:space="preserve">Includes 1 STATE request (LA County)</t>
  </si>
  <si>
    <t xml:space="preserve">Month 8</t>
  </si>
  <si>
    <t xml:space="preserve">Wave 8</t>
  </si>
  <si>
    <t xml:space="preserve">T3-36, T3-37, T3-38, T3-39, T3-40</t>
  </si>
  <si>
    <t xml:space="preserve">MLK backup, Facebook, Skripal, Lavon, Netanyahu</t>
  </si>
  <si>
    <t xml:space="preserve">Mixed federal</t>
  </si>
  <si>
    <t xml:space="preserve">Month 9</t>
  </si>
  <si>
    <t xml:space="preserve">Wave 9</t>
  </si>
  <si>
    <t xml:space="preserve">T3-41, T3-42, T3-43, T3-44, T3-45</t>
  </si>
  <si>
    <t xml:space="preserve">Final wave — pattern completion</t>
  </si>
  <si>
    <t xml:space="preserve">9/11 put options, IDF white phosphorus, 28 Pages drafting, Paperclip, plutonium</t>
  </si>
  <si>
    <t xml:space="preserve">STANDARD AGENCY RESPONSE PROTOCOL</t>
  </si>
  <si>
    <t xml:space="preserve">Every agency response falls into one of seven standard categories. Each category has a predetermined next step. You do not decide what to do in the moment — you execute the protocol. This is what makes 45 parallel cases manageable. The decision was made when you filed; you only need to follow it.</t>
  </si>
  <si>
    <t xml:space="preserve">Response Type</t>
  </si>
  <si>
    <t xml:space="preserve">What It Means</t>
  </si>
  <si>
    <t xml:space="preserve">Next Step</t>
  </si>
  <si>
    <t xml:space="preserve">Acknowledgment (within 20 business days)</t>
  </si>
  <si>
    <t xml:space="preserve">Agency confirms receipt and assigns tracking number. This is the baseline expected response.</t>
  </si>
  <si>
    <t xml:space="preserve">Log tracking number in column I of Targets sheet. Set 30-day calendar reminder for substantive response.</t>
  </si>
  <si>
    <t xml:space="preserve">Full release</t>
  </si>
  <si>
    <t xml:space="preserve">Records produced without redactions.</t>
  </si>
  <si>
    <t xml:space="preserve">Archive, publish to MuckRock or personal site, cross-reference against existing public materials, mark Status as Complete.</t>
  </si>
  <si>
    <t xml:space="preserve">Partial release with redactions</t>
  </si>
  <si>
    <t xml:space="preserve">Some records produced; portions withheld under specific FOIA exemptions cited.</t>
  </si>
  <si>
    <t xml:space="preserve">Demand a Vaughn index for each redaction. File administrative appeal within 90 days specifically challenging the exemption invocations most plausibly improper.</t>
  </si>
  <si>
    <t xml:space="preserve">No records response</t>
  </si>
  <si>
    <t xml:space="preserve">Agency states the requested records do not exist.</t>
  </si>
  <si>
    <t xml:space="preserve">Reply requesting the search methodology used. Refile with refined search terms. The absence is itself documentary evidence.</t>
  </si>
  <si>
    <t xml:space="preserve">Glomar response</t>
  </si>
  <si>
    <t xml:space="preserve">Agency neither confirms nor denies the existence of records (typical in national security contexts).</t>
  </si>
  <si>
    <t xml:space="preserve">File administrative appeal arguing the public interest exception. Consider parallel FOIA to other agencies that may have related records.</t>
  </si>
  <si>
    <t xml:space="preserve">Fee estimate / fee denial</t>
  </si>
  <si>
    <t xml:space="preserve">Agency demands payment before processing or denies fee waiver.</t>
  </si>
  <si>
    <t xml:space="preserve">File appeal of fee waiver denial citing public interest standard. Cite media organization status if applicable. Adjust scope if necessary.</t>
  </si>
  <si>
    <t xml:space="preserve">Full refusal</t>
  </si>
  <si>
    <t xml:space="preserve">Agency cites exemption and refuses to process or release.</t>
  </si>
  <si>
    <t xml:space="preserve">File administrative appeal within 90 days. After appeal denial, the next step is FOIA litigation under 5 U.S.C. § 552(a)(4)(B).</t>
  </si>
  <si>
    <t xml:space="preserve">No response within statutory timeline</t>
  </si>
  <si>
    <t xml:space="preserve">20 business days passed without acknowledgment or 30 business days for unusual circumstances passed without substantive response.</t>
  </si>
  <si>
    <t xml:space="preserve">You have exhausted administrative remedies. You can file suit immediately in federal district court.</t>
  </si>
  <si>
    <t xml:space="preserve">AGENCY FOIA OFFICE DIRECTORY</t>
  </si>
  <si>
    <t xml:space="preserve">Agency</t>
  </si>
  <si>
    <t xml:space="preserve">FOIA Portal</t>
  </si>
  <si>
    <t xml:space="preserve">Best Method</t>
  </si>
  <si>
    <t xml:space="preserve">efoia.fbi.gov</t>
  </si>
  <si>
    <t xml:space="preserve">Online portal</t>
  </si>
  <si>
    <t xml:space="preserve">Large backlog. Vault at vault.fbi.gov for already-released</t>
  </si>
  <si>
    <t xml:space="preserve">cia.gov/library/foia-electronic-reading-room</t>
  </si>
  <si>
    <t xml:space="preserve">Online or mail</t>
  </si>
  <si>
    <t xml:space="preserve">Reading room at cia.gov/readingroom. MDR for classified.</t>
  </si>
  <si>
    <t xml:space="preserve">DOD / OSD</t>
  </si>
  <si>
    <t xml:space="preserve">open.defense.gov/Transparency/FOIA</t>
  </si>
  <si>
    <t xml:space="preserve">Email or portal</t>
  </si>
  <si>
    <t xml:space="preserve">Branch-specific FOIA offices for Army, Navy, AF, Marines</t>
  </si>
  <si>
    <t xml:space="preserve">dodig.mil/FOIA</t>
  </si>
  <si>
    <t xml:space="preserve">For audit-related requests</t>
  </si>
  <si>
    <t xml:space="preserve">NSA</t>
  </si>
  <si>
    <t xml:space="preserve">nsa.gov/news-features/declassified-documents/foia</t>
  </si>
  <si>
    <t xml:space="preserve">Mail preferred</t>
  </si>
  <si>
    <t xml:space="preserve">Heavy Glomar usage; expect long delays</t>
  </si>
  <si>
    <t xml:space="preserve">foia.state.gov</t>
  </si>
  <si>
    <t xml:space="preserve">Old records often available</t>
  </si>
  <si>
    <t xml:space="preserve">NARA</t>
  </si>
  <si>
    <t xml:space="preserve">archives.gov/foia</t>
  </si>
  <si>
    <t xml:space="preserve">For permanently retained records &gt;25 years old</t>
  </si>
  <si>
    <t xml:space="preserve">justice.gov/oip</t>
  </si>
  <si>
    <t xml:space="preserve">Portal or mail</t>
  </si>
  <si>
    <t xml:space="preserve">Office of Information Policy handles appeals</t>
  </si>
  <si>
    <t xml:space="preserve">ODNI</t>
  </si>
  <si>
    <t xml:space="preserve">dni.gov/index.php/who-we-are/organizations/ic-element-foia-policies</t>
  </si>
  <si>
    <t xml:space="preserve">Mail or email</t>
  </si>
  <si>
    <t xml:space="preserve">Coordinates across IC for cross-agency requests</t>
  </si>
  <si>
    <t xml:space="preserve">dea.gov/foia</t>
  </si>
  <si>
    <t xml:space="preserve">hhs.gov/foia</t>
  </si>
  <si>
    <t xml:space="preserve">fda.gov/regulatory-information/freedom-information</t>
  </si>
  <si>
    <t xml:space="preserve">energy.gov/management/freedom-information-act</t>
  </si>
  <si>
    <t xml:space="preserve">nist.gov/foia</t>
  </si>
  <si>
    <t xml:space="preserve">Email</t>
  </si>
  <si>
    <t xml:space="preserve">Limited public records — pattern of refusal</t>
  </si>
  <si>
    <t xml:space="preserve">sec.gov/foia</t>
  </si>
  <si>
    <t xml:space="preserve">FTC</t>
  </si>
  <si>
    <t xml:space="preserve">ftc.gov/policy/freedom-information-act</t>
  </si>
  <si>
    <t xml:space="preserve">LA County Coroner</t>
  </si>
  <si>
    <t xml:space="preserve">mec.lacounty.gov</t>
  </si>
  <si>
    <t xml:space="preserve">CA Public Records Act</t>
  </si>
  <si>
    <t xml:space="preserve">STATE request — not federal FOIA</t>
  </si>
  <si>
    <t xml:space="preserve">SFPD</t>
  </si>
  <si>
    <t xml:space="preserve">sanfranciscopolice.org</t>
  </si>
  <si>
    <t xml:space="preserve">MuckRock</t>
  </si>
  <si>
    <t xml:space="preserve">muckrock.com</t>
  </si>
  <si>
    <t xml:space="preserve">Filing platform</t>
  </si>
  <si>
    <t xml:space="preserve">Optional — files on your behalf for $4-5 per request, publishes results automatically</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</si>
</sst>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22"/>
      <color rgb="FF1A1A2E"/>
      <name val="Arial"/>
      <family val="0"/>
      <charset val="1"/>
    </font>
    <font>
      <i val="true"/>
      <sz val="12"/>
      <color rgb="FF666666"/>
      <name val="Georgia"/>
      <family val="0"/>
      <charset val="1"/>
    </font>
    <font>
      <b val="true"/>
      <sz val="14"/>
      <name val="Arial"/>
      <family val="0"/>
      <charset val="1"/>
    </font>
    <font>
      <sz val="11"/>
      <name val="Arial"/>
      <family val="0"/>
      <charset val="1"/>
    </font>
    <font>
      <b val="true"/>
      <sz val="11"/>
      <name val="Arial"/>
      <family val="0"/>
      <charset val="1"/>
    </font>
    <font>
      <sz val="10"/>
      <name val="Arial"/>
      <family val="0"/>
      <charset val="1"/>
    </font>
    <font>
      <b val="true"/>
      <sz val="11"/>
      <color rgb="FFFFFFFF"/>
      <name val="Arial"/>
      <family val="0"/>
      <charset val="1"/>
    </font>
    <font>
      <b val="true"/>
      <sz val="16"/>
      <name val="Arial"/>
      <family val="0"/>
      <charset val="1"/>
    </font>
  </fonts>
  <fills count="6">
    <fill>
      <patternFill patternType="none"/>
    </fill>
    <fill>
      <patternFill patternType="gray125"/>
    </fill>
    <fill>
      <patternFill patternType="solid">
        <fgColor rgb="FF1A1A2E"/>
        <bgColor rgb="FF333300"/>
      </patternFill>
    </fill>
    <fill>
      <patternFill patternType="solid">
        <fgColor rgb="FFFFE5E5"/>
        <bgColor rgb="FFFFF8E0"/>
      </patternFill>
    </fill>
    <fill>
      <patternFill patternType="solid">
        <fgColor rgb="FFFFF8E0"/>
        <bgColor rgb="FFFFFFFF"/>
      </patternFill>
    </fill>
    <fill>
      <patternFill patternType="solid">
        <fgColor rgb="FFE8F0F8"/>
        <bgColor rgb="FFFFF8E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center" vertical="center" textRotation="0" wrapText="true" indent="0" shrinkToFit="false"/>
      <protection locked="true" hidden="false"/>
    </xf>
    <xf numFmtId="164" fontId="9" fillId="3" borderId="0" xfId="0" applyFont="true" applyBorder="false" applyAlignment="true" applyProtection="false">
      <alignment horizontal="general" vertical="top" textRotation="0" wrapText="true" indent="0" shrinkToFit="false"/>
      <protection locked="true" hidden="false"/>
    </xf>
    <xf numFmtId="164" fontId="9" fillId="4" borderId="0" xfId="0" applyFont="true" applyBorder="false" applyAlignment="true" applyProtection="false">
      <alignment horizontal="general" vertical="top" textRotation="0" wrapText="true" indent="0" shrinkToFit="false"/>
      <protection locked="true" hidden="false"/>
    </xf>
    <xf numFmtId="164" fontId="9" fillId="5"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8E0"/>
      <rgbColor rgb="FFE8F0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E5"/>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3" min="2" style="0" width="12"/>
    <col collapsed="false" customWidth="true" hidden="false" outlineLevel="0" max="4" min="4" style="0" width="28"/>
  </cols>
  <sheetData>
    <row r="1" customFormat="false" ht="26.8" hidden="false" customHeight="false" outlineLevel="0" collapsed="false">
      <c r="A1" s="1" t="s">
        <v>0</v>
      </c>
      <c r="B1" s="1"/>
      <c r="C1" s="1"/>
      <c r="D1" s="1"/>
    </row>
    <row r="2" customFormat="false" ht="15" hidden="false" customHeight="false" outlineLevel="0" collapsed="false">
      <c r="A2" s="2" t="s">
        <v>1</v>
      </c>
      <c r="B2" s="2"/>
      <c r="C2" s="2"/>
      <c r="D2" s="2"/>
    </row>
    <row r="4" customFormat="false" ht="17.35" hidden="false" customHeight="false" outlineLevel="0" collapsed="false">
      <c r="A4" s="3" t="s">
        <v>2</v>
      </c>
    </row>
    <row r="5" customFormat="false" ht="15" hidden="false" customHeight="false" outlineLevel="0" collapsed="false">
      <c r="A5" s="4" t="s">
        <v>3</v>
      </c>
      <c r="B5" s="5" t="n">
        <f aca="false">COUNTA(Targets!A2:A100)-COUNTBLANK(Targets!A2:A100)</f>
        <v>-9</v>
      </c>
    </row>
    <row r="6" customFormat="false" ht="15" hidden="false" customHeight="false" outlineLevel="0" collapsed="false">
      <c r="A6" s="4" t="s">
        <v>4</v>
      </c>
      <c r="B6" s="5" t="n">
        <f aca="false">COUNTIF(Targets!G2:G100,"Draft")</f>
        <v>45</v>
      </c>
    </row>
    <row r="7" customFormat="false" ht="15" hidden="false" customHeight="false" outlineLevel="0" collapsed="false">
      <c r="A7" s="4" t="s">
        <v>5</v>
      </c>
      <c r="B7" s="5" t="n">
        <f aca="false">COUNTIF(Targets!G2:G100,"Filed")</f>
        <v>0</v>
      </c>
    </row>
    <row r="8" customFormat="false" ht="15" hidden="false" customHeight="false" outlineLevel="0" collapsed="false">
      <c r="A8" s="4" t="s">
        <v>6</v>
      </c>
      <c r="B8" s="5" t="n">
        <f aca="false">COUNTIF(Targets!G2:G100,"Acknowledged")</f>
        <v>0</v>
      </c>
    </row>
    <row r="9" customFormat="false" ht="15" hidden="false" customHeight="false" outlineLevel="0" collapsed="false">
      <c r="A9" s="4" t="s">
        <v>7</v>
      </c>
      <c r="B9" s="5" t="n">
        <f aca="false">COUNTIF(Targets!G2:G100,"Appeal")</f>
        <v>0</v>
      </c>
    </row>
    <row r="10" customFormat="false" ht="15" hidden="false" customHeight="false" outlineLevel="0" collapsed="false">
      <c r="A10" s="4" t="s">
        <v>8</v>
      </c>
      <c r="B10" s="5" t="n">
        <f aca="false">COUNTIF(Targets!G2:G100,"Released")</f>
        <v>0</v>
      </c>
    </row>
    <row r="11" customFormat="false" ht="15" hidden="false" customHeight="false" outlineLevel="0" collapsed="false">
      <c r="A11" s="4" t="s">
        <v>9</v>
      </c>
      <c r="B11" s="5" t="n">
        <f aca="false">COUNTIF(Targets!G2:G100,"Refused")</f>
        <v>0</v>
      </c>
    </row>
    <row r="12" customFormat="false" ht="15" hidden="false" customHeight="false" outlineLevel="0" collapsed="false">
      <c r="A12" s="4" t="s">
        <v>10</v>
      </c>
      <c r="B12" s="5" t="n">
        <f aca="false">COUNTIF(Targets!G2:G100,"Complete")</f>
        <v>0</v>
      </c>
    </row>
    <row r="14" customFormat="false" ht="17.35" hidden="false" customHeight="false" outlineLevel="0" collapsed="false">
      <c r="A14" s="3" t="s">
        <v>11</v>
      </c>
    </row>
    <row r="15" customFormat="false" ht="15" hidden="false" customHeight="false" outlineLevel="0" collapsed="false">
      <c r="A15" s="4" t="s">
        <v>12</v>
      </c>
      <c r="B15" s="5" t="n">
        <f aca="false">COUNTIF(Targets!B2:B100,"A")</f>
        <v>8</v>
      </c>
    </row>
    <row r="16" customFormat="false" ht="15" hidden="false" customHeight="false" outlineLevel="0" collapsed="false">
      <c r="A16" s="4" t="s">
        <v>13</v>
      </c>
      <c r="B16" s="5" t="n">
        <f aca="false">COUNTIF(Targets!B2:B100,"B")</f>
        <v>12</v>
      </c>
    </row>
    <row r="17" customFormat="false" ht="15" hidden="false" customHeight="false" outlineLevel="0" collapsed="false">
      <c r="A17" s="4" t="s">
        <v>14</v>
      </c>
      <c r="B17" s="5" t="n">
        <f aca="false">COUNTIF(Targets!B2:B100,"C")</f>
        <v>25</v>
      </c>
    </row>
    <row r="19" customFormat="false" ht="17.35" hidden="false" customHeight="false" outlineLevel="0" collapsed="false">
      <c r="A19" s="3" t="s">
        <v>15</v>
      </c>
    </row>
    <row r="20" customFormat="false" ht="15" hidden="false" customHeight="true" outlineLevel="0" collapsed="false">
      <c r="A20" s="6" t="s">
        <v>16</v>
      </c>
      <c r="B20" s="6"/>
      <c r="C20" s="6"/>
      <c r="D20" s="6"/>
    </row>
    <row r="21" customFormat="false" ht="15" hidden="false" customHeight="false" outlineLevel="0" collapsed="false">
      <c r="A21" s="6"/>
      <c r="B21" s="6"/>
      <c r="C21" s="6"/>
      <c r="D21" s="6"/>
    </row>
    <row r="22" customFormat="false" ht="15" hidden="false" customHeight="false" outlineLevel="0" collapsed="false">
      <c r="A22" s="6"/>
      <c r="B22" s="6"/>
      <c r="C22" s="6"/>
      <c r="D22" s="6"/>
    </row>
    <row r="23" customFormat="false" ht="15" hidden="false" customHeight="false" outlineLevel="0" collapsed="false">
      <c r="A23" s="6"/>
      <c r="B23" s="6"/>
      <c r="C23" s="6"/>
      <c r="D23" s="6"/>
    </row>
    <row r="24" customFormat="false" ht="15" hidden="false" customHeight="false" outlineLevel="0" collapsed="false">
      <c r="A24" s="6"/>
      <c r="B24" s="6"/>
      <c r="C24" s="6"/>
      <c r="D24" s="6"/>
    </row>
  </sheetData>
  <mergeCells count="3">
    <mergeCell ref="A1:D1"/>
    <mergeCell ref="A2:D2"/>
    <mergeCell ref="A20:D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32"/>
    <col collapsed="false" customWidth="true" hidden="false" outlineLevel="0" max="4" min="4" style="0" width="28"/>
    <col collapsed="false" customWidth="true" hidden="false" outlineLevel="0" max="5" min="5" style="0" width="50"/>
    <col collapsed="false" customWidth="true" hidden="false" outlineLevel="0" max="6" min="6" style="0" width="18"/>
    <col collapsed="false" customWidth="true" hidden="false" outlineLevel="0" max="7" min="7" style="0" width="9"/>
    <col collapsed="false" customWidth="true" hidden="false" outlineLevel="0" max="8" min="8" style="0" width="11"/>
    <col collapsed="false" customWidth="true" hidden="false" outlineLevel="0" max="9" min="9" style="0" width="14"/>
    <col collapsed="false" customWidth="true" hidden="false" outlineLevel="0" max="10" min="10" style="0" width="24"/>
    <col collapsed="false" customWidth="true" hidden="false" outlineLevel="0" max="11" min="11" style="0" width="28"/>
    <col collapsed="false" customWidth="true" hidden="false" outlineLevel="0" max="12" min="12" style="0" width="22"/>
  </cols>
  <sheetData>
    <row r="1" customFormat="false" ht="31.5" hidden="false" customHeight="true" outlineLevel="0" collapsed="false">
      <c r="A1" s="7" t="s">
        <v>17</v>
      </c>
      <c r="B1" s="7" t="s">
        <v>18</v>
      </c>
      <c r="C1" s="7" t="s">
        <v>19</v>
      </c>
      <c r="D1" s="7" t="s">
        <v>20</v>
      </c>
      <c r="E1" s="7" t="s">
        <v>21</v>
      </c>
      <c r="F1" s="7" t="s">
        <v>22</v>
      </c>
      <c r="G1" s="7" t="s">
        <v>23</v>
      </c>
      <c r="H1" s="7" t="s">
        <v>24</v>
      </c>
      <c r="I1" s="7" t="s">
        <v>25</v>
      </c>
      <c r="J1" s="7" t="s">
        <v>26</v>
      </c>
      <c r="K1" s="7" t="s">
        <v>27</v>
      </c>
      <c r="L1" s="7" t="s">
        <v>28</v>
      </c>
    </row>
    <row r="2" customFormat="false" ht="90" hidden="false" customHeight="true" outlineLevel="0" collapsed="false">
      <c r="A2" s="8" t="s">
        <v>29</v>
      </c>
      <c r="B2" s="8" t="s">
        <v>30</v>
      </c>
      <c r="C2" s="8" t="s">
        <v>31</v>
      </c>
      <c r="D2" s="8" t="s">
        <v>32</v>
      </c>
      <c r="E2" s="8" t="s">
        <v>33</v>
      </c>
      <c r="F2" s="8" t="s">
        <v>34</v>
      </c>
      <c r="G2" s="8" t="s">
        <v>35</v>
      </c>
      <c r="H2" s="8"/>
      <c r="I2" s="8"/>
      <c r="J2" s="8" t="s">
        <v>36</v>
      </c>
      <c r="K2" s="8" t="s">
        <v>37</v>
      </c>
      <c r="L2" s="8"/>
    </row>
    <row r="3" customFormat="false" ht="90" hidden="false" customHeight="true" outlineLevel="0" collapsed="false">
      <c r="A3" s="8" t="s">
        <v>38</v>
      </c>
      <c r="B3" s="8" t="s">
        <v>30</v>
      </c>
      <c r="C3" s="8" t="s">
        <v>39</v>
      </c>
      <c r="D3" s="8" t="s">
        <v>40</v>
      </c>
      <c r="E3" s="8" t="s">
        <v>41</v>
      </c>
      <c r="F3" s="8" t="s">
        <v>34</v>
      </c>
      <c r="G3" s="8" t="s">
        <v>35</v>
      </c>
      <c r="H3" s="8"/>
      <c r="I3" s="8"/>
      <c r="J3" s="8" t="s">
        <v>42</v>
      </c>
      <c r="K3" s="8" t="s">
        <v>43</v>
      </c>
      <c r="L3" s="8"/>
    </row>
    <row r="4" customFormat="false" ht="90" hidden="false" customHeight="true" outlineLevel="0" collapsed="false">
      <c r="A4" s="8" t="s">
        <v>44</v>
      </c>
      <c r="B4" s="8" t="s">
        <v>30</v>
      </c>
      <c r="C4" s="8" t="s">
        <v>45</v>
      </c>
      <c r="D4" s="8" t="s">
        <v>46</v>
      </c>
      <c r="E4" s="8" t="s">
        <v>47</v>
      </c>
      <c r="F4" s="8" t="s">
        <v>34</v>
      </c>
      <c r="G4" s="8" t="s">
        <v>35</v>
      </c>
      <c r="H4" s="8"/>
      <c r="I4" s="8"/>
      <c r="J4" s="8" t="s">
        <v>48</v>
      </c>
      <c r="K4" s="8" t="s">
        <v>49</v>
      </c>
      <c r="L4" s="8" t="s">
        <v>50</v>
      </c>
    </row>
    <row r="5" customFormat="false" ht="90" hidden="false" customHeight="true" outlineLevel="0" collapsed="false">
      <c r="A5" s="8" t="s">
        <v>51</v>
      </c>
      <c r="B5" s="8" t="s">
        <v>30</v>
      </c>
      <c r="C5" s="8" t="s">
        <v>52</v>
      </c>
      <c r="D5" s="8" t="s">
        <v>53</v>
      </c>
      <c r="E5" s="8" t="s">
        <v>54</v>
      </c>
      <c r="F5" s="8" t="s">
        <v>34</v>
      </c>
      <c r="G5" s="8" t="s">
        <v>35</v>
      </c>
      <c r="H5" s="8"/>
      <c r="I5" s="8"/>
      <c r="J5" s="8" t="s">
        <v>55</v>
      </c>
      <c r="K5" s="8" t="s">
        <v>56</v>
      </c>
      <c r="L5" s="8"/>
    </row>
    <row r="6" customFormat="false" ht="90" hidden="false" customHeight="true" outlineLevel="0" collapsed="false">
      <c r="A6" s="8" t="s">
        <v>57</v>
      </c>
      <c r="B6" s="8" t="s">
        <v>30</v>
      </c>
      <c r="C6" s="8" t="s">
        <v>58</v>
      </c>
      <c r="D6" s="8" t="s">
        <v>40</v>
      </c>
      <c r="E6" s="8" t="s">
        <v>59</v>
      </c>
      <c r="F6" s="8" t="s">
        <v>34</v>
      </c>
      <c r="G6" s="8" t="s">
        <v>35</v>
      </c>
      <c r="H6" s="8"/>
      <c r="I6" s="8"/>
      <c r="J6" s="8" t="s">
        <v>60</v>
      </c>
      <c r="K6" s="8" t="s">
        <v>61</v>
      </c>
      <c r="L6" s="8"/>
    </row>
    <row r="7" customFormat="false" ht="90" hidden="false" customHeight="true" outlineLevel="0" collapsed="false">
      <c r="A7" s="8" t="s">
        <v>62</v>
      </c>
      <c r="B7" s="8" t="s">
        <v>30</v>
      </c>
      <c r="C7" s="8" t="s">
        <v>63</v>
      </c>
      <c r="D7" s="8" t="s">
        <v>64</v>
      </c>
      <c r="E7" s="8" t="s">
        <v>65</v>
      </c>
      <c r="F7" s="8" t="s">
        <v>34</v>
      </c>
      <c r="G7" s="8" t="s">
        <v>35</v>
      </c>
      <c r="H7" s="8"/>
      <c r="I7" s="8"/>
      <c r="J7" s="8" t="s">
        <v>66</v>
      </c>
      <c r="K7" s="8" t="s">
        <v>67</v>
      </c>
      <c r="L7" s="8"/>
    </row>
    <row r="8" customFormat="false" ht="90" hidden="false" customHeight="true" outlineLevel="0" collapsed="false">
      <c r="A8" s="8" t="s">
        <v>68</v>
      </c>
      <c r="B8" s="8" t="s">
        <v>30</v>
      </c>
      <c r="C8" s="8" t="s">
        <v>69</v>
      </c>
      <c r="D8" s="8" t="s">
        <v>70</v>
      </c>
      <c r="E8" s="8" t="s">
        <v>71</v>
      </c>
      <c r="F8" s="8" t="s">
        <v>34</v>
      </c>
      <c r="G8" s="8" t="s">
        <v>35</v>
      </c>
      <c r="H8" s="8"/>
      <c r="I8" s="8"/>
      <c r="J8" s="8" t="s">
        <v>72</v>
      </c>
      <c r="K8" s="8" t="s">
        <v>73</v>
      </c>
      <c r="L8" s="8"/>
    </row>
    <row r="9" customFormat="false" ht="90" hidden="false" customHeight="true" outlineLevel="0" collapsed="false">
      <c r="A9" s="8" t="s">
        <v>74</v>
      </c>
      <c r="B9" s="8" t="s">
        <v>30</v>
      </c>
      <c r="C9" s="8" t="s">
        <v>75</v>
      </c>
      <c r="D9" s="8" t="s">
        <v>76</v>
      </c>
      <c r="E9" s="8" t="s">
        <v>77</v>
      </c>
      <c r="F9" s="8" t="s">
        <v>34</v>
      </c>
      <c r="G9" s="8" t="s">
        <v>35</v>
      </c>
      <c r="H9" s="8"/>
      <c r="I9" s="8"/>
      <c r="J9" s="8" t="s">
        <v>78</v>
      </c>
      <c r="K9" s="8" t="s">
        <v>79</v>
      </c>
      <c r="L9" s="8" t="s">
        <v>80</v>
      </c>
    </row>
    <row r="10" customFormat="false" ht="90" hidden="false" customHeight="true" outlineLevel="0" collapsed="false">
      <c r="A10" s="9" t="s">
        <v>81</v>
      </c>
      <c r="B10" s="9" t="s">
        <v>82</v>
      </c>
      <c r="C10" s="9" t="s">
        <v>83</v>
      </c>
      <c r="D10" s="9" t="s">
        <v>40</v>
      </c>
      <c r="E10" s="9" t="s">
        <v>84</v>
      </c>
      <c r="F10" s="9" t="s">
        <v>34</v>
      </c>
      <c r="G10" s="9" t="s">
        <v>35</v>
      </c>
      <c r="H10" s="9"/>
      <c r="I10" s="9"/>
      <c r="J10" s="9" t="s">
        <v>60</v>
      </c>
      <c r="K10" s="9" t="s">
        <v>85</v>
      </c>
      <c r="L10" s="9"/>
    </row>
    <row r="11" customFormat="false" ht="90" hidden="false" customHeight="true" outlineLevel="0" collapsed="false">
      <c r="A11" s="9" t="s">
        <v>86</v>
      </c>
      <c r="B11" s="9" t="s">
        <v>82</v>
      </c>
      <c r="C11" s="9" t="s">
        <v>87</v>
      </c>
      <c r="D11" s="9" t="s">
        <v>40</v>
      </c>
      <c r="E11" s="9" t="s">
        <v>88</v>
      </c>
      <c r="F11" s="9" t="s">
        <v>89</v>
      </c>
      <c r="G11" s="9" t="s">
        <v>35</v>
      </c>
      <c r="H11" s="9"/>
      <c r="I11" s="9"/>
      <c r="J11" s="9" t="s">
        <v>90</v>
      </c>
      <c r="K11" s="9" t="s">
        <v>91</v>
      </c>
      <c r="L11" s="9"/>
    </row>
    <row r="12" customFormat="false" ht="90" hidden="false" customHeight="true" outlineLevel="0" collapsed="false">
      <c r="A12" s="9" t="s">
        <v>92</v>
      </c>
      <c r="B12" s="9" t="s">
        <v>82</v>
      </c>
      <c r="C12" s="9" t="s">
        <v>93</v>
      </c>
      <c r="D12" s="9" t="s">
        <v>94</v>
      </c>
      <c r="E12" s="9" t="s">
        <v>95</v>
      </c>
      <c r="F12" s="9" t="s">
        <v>96</v>
      </c>
      <c r="G12" s="9" t="s">
        <v>35</v>
      </c>
      <c r="H12" s="9"/>
      <c r="I12" s="9"/>
      <c r="J12" s="9" t="s">
        <v>97</v>
      </c>
      <c r="K12" s="9" t="s">
        <v>98</v>
      </c>
      <c r="L12" s="9" t="s">
        <v>99</v>
      </c>
    </row>
    <row r="13" customFormat="false" ht="90" hidden="false" customHeight="true" outlineLevel="0" collapsed="false">
      <c r="A13" s="9" t="s">
        <v>100</v>
      </c>
      <c r="B13" s="9" t="s">
        <v>82</v>
      </c>
      <c r="C13" s="9" t="s">
        <v>101</v>
      </c>
      <c r="D13" s="9" t="s">
        <v>102</v>
      </c>
      <c r="E13" s="9" t="s">
        <v>103</v>
      </c>
      <c r="F13" s="9" t="s">
        <v>34</v>
      </c>
      <c r="G13" s="9" t="s">
        <v>35</v>
      </c>
      <c r="H13" s="9"/>
      <c r="I13" s="9"/>
      <c r="J13" s="9" t="s">
        <v>104</v>
      </c>
      <c r="K13" s="9" t="s">
        <v>105</v>
      </c>
      <c r="L13" s="9"/>
    </row>
    <row r="14" customFormat="false" ht="90" hidden="false" customHeight="true" outlineLevel="0" collapsed="false">
      <c r="A14" s="9" t="s">
        <v>106</v>
      </c>
      <c r="B14" s="9" t="s">
        <v>82</v>
      </c>
      <c r="C14" s="9" t="s">
        <v>107</v>
      </c>
      <c r="D14" s="9" t="s">
        <v>40</v>
      </c>
      <c r="E14" s="9" t="s">
        <v>108</v>
      </c>
      <c r="F14" s="9" t="s">
        <v>34</v>
      </c>
      <c r="G14" s="9" t="s">
        <v>35</v>
      </c>
      <c r="H14" s="9"/>
      <c r="I14" s="9"/>
      <c r="J14" s="9" t="s">
        <v>109</v>
      </c>
      <c r="K14" s="9" t="s">
        <v>110</v>
      </c>
      <c r="L14" s="9"/>
    </row>
    <row r="15" customFormat="false" ht="90" hidden="false" customHeight="true" outlineLevel="0" collapsed="false">
      <c r="A15" s="9" t="s">
        <v>111</v>
      </c>
      <c r="B15" s="9" t="s">
        <v>82</v>
      </c>
      <c r="C15" s="9" t="s">
        <v>112</v>
      </c>
      <c r="D15" s="9" t="s">
        <v>113</v>
      </c>
      <c r="E15" s="9" t="s">
        <v>114</v>
      </c>
      <c r="F15" s="9" t="s">
        <v>34</v>
      </c>
      <c r="G15" s="9" t="s">
        <v>35</v>
      </c>
      <c r="H15" s="9"/>
      <c r="I15" s="9"/>
      <c r="J15" s="9" t="s">
        <v>115</v>
      </c>
      <c r="K15" s="9" t="s">
        <v>116</v>
      </c>
      <c r="L15" s="9" t="s">
        <v>117</v>
      </c>
    </row>
    <row r="16" customFormat="false" ht="90" hidden="false" customHeight="true" outlineLevel="0" collapsed="false">
      <c r="A16" s="9" t="s">
        <v>118</v>
      </c>
      <c r="B16" s="9" t="s">
        <v>82</v>
      </c>
      <c r="C16" s="9" t="s">
        <v>119</v>
      </c>
      <c r="D16" s="9" t="s">
        <v>120</v>
      </c>
      <c r="E16" s="9" t="s">
        <v>121</v>
      </c>
      <c r="F16" s="9" t="s">
        <v>122</v>
      </c>
      <c r="G16" s="9" t="s">
        <v>35</v>
      </c>
      <c r="H16" s="9"/>
      <c r="I16" s="9"/>
      <c r="J16" s="9" t="s">
        <v>123</v>
      </c>
      <c r="K16" s="9" t="s">
        <v>124</v>
      </c>
      <c r="L16" s="9" t="s">
        <v>125</v>
      </c>
    </row>
    <row r="17" customFormat="false" ht="90" hidden="false" customHeight="true" outlineLevel="0" collapsed="false">
      <c r="A17" s="9" t="s">
        <v>126</v>
      </c>
      <c r="B17" s="9" t="s">
        <v>82</v>
      </c>
      <c r="C17" s="9" t="s">
        <v>127</v>
      </c>
      <c r="D17" s="9" t="s">
        <v>128</v>
      </c>
      <c r="E17" s="9" t="s">
        <v>129</v>
      </c>
      <c r="F17" s="9" t="s">
        <v>34</v>
      </c>
      <c r="G17" s="9" t="s">
        <v>35</v>
      </c>
      <c r="H17" s="9"/>
      <c r="I17" s="9"/>
      <c r="J17" s="9" t="s">
        <v>130</v>
      </c>
      <c r="K17" s="9" t="s">
        <v>131</v>
      </c>
      <c r="L17" s="9"/>
    </row>
    <row r="18" customFormat="false" ht="90" hidden="false" customHeight="true" outlineLevel="0" collapsed="false">
      <c r="A18" s="9" t="s">
        <v>132</v>
      </c>
      <c r="B18" s="9" t="s">
        <v>82</v>
      </c>
      <c r="C18" s="9" t="s">
        <v>133</v>
      </c>
      <c r="D18" s="9" t="s">
        <v>134</v>
      </c>
      <c r="E18" s="9" t="s">
        <v>135</v>
      </c>
      <c r="F18" s="9" t="s">
        <v>34</v>
      </c>
      <c r="G18" s="9" t="s">
        <v>35</v>
      </c>
      <c r="H18" s="9"/>
      <c r="I18" s="9"/>
      <c r="J18" s="9" t="s">
        <v>136</v>
      </c>
      <c r="K18" s="9" t="s">
        <v>137</v>
      </c>
      <c r="L18" s="9"/>
    </row>
    <row r="19" customFormat="false" ht="90" hidden="false" customHeight="true" outlineLevel="0" collapsed="false">
      <c r="A19" s="9" t="s">
        <v>138</v>
      </c>
      <c r="B19" s="9" t="s">
        <v>82</v>
      </c>
      <c r="C19" s="9" t="s">
        <v>139</v>
      </c>
      <c r="D19" s="9" t="s">
        <v>76</v>
      </c>
      <c r="E19" s="9" t="s">
        <v>140</v>
      </c>
      <c r="F19" s="9" t="s">
        <v>34</v>
      </c>
      <c r="G19" s="9" t="s">
        <v>35</v>
      </c>
      <c r="H19" s="9"/>
      <c r="I19" s="9"/>
      <c r="J19" s="9" t="s">
        <v>141</v>
      </c>
      <c r="K19" s="9" t="s">
        <v>142</v>
      </c>
      <c r="L19" s="9"/>
    </row>
    <row r="20" customFormat="false" ht="90" hidden="false" customHeight="true" outlineLevel="0" collapsed="false">
      <c r="A20" s="9" t="s">
        <v>143</v>
      </c>
      <c r="B20" s="9" t="s">
        <v>82</v>
      </c>
      <c r="C20" s="9" t="s">
        <v>144</v>
      </c>
      <c r="D20" s="9" t="s">
        <v>40</v>
      </c>
      <c r="E20" s="9" t="s">
        <v>145</v>
      </c>
      <c r="F20" s="9" t="s">
        <v>34</v>
      </c>
      <c r="G20" s="9" t="s">
        <v>35</v>
      </c>
      <c r="H20" s="9"/>
      <c r="I20" s="9"/>
      <c r="J20" s="9" t="s">
        <v>60</v>
      </c>
      <c r="K20" s="9" t="s">
        <v>85</v>
      </c>
      <c r="L20" s="9"/>
    </row>
    <row r="21" customFormat="false" ht="90" hidden="false" customHeight="true" outlineLevel="0" collapsed="false">
      <c r="A21" s="9" t="s">
        <v>146</v>
      </c>
      <c r="B21" s="9" t="s">
        <v>82</v>
      </c>
      <c r="C21" s="9" t="s">
        <v>147</v>
      </c>
      <c r="D21" s="9" t="s">
        <v>148</v>
      </c>
      <c r="E21" s="9" t="s">
        <v>149</v>
      </c>
      <c r="F21" s="9" t="s">
        <v>34</v>
      </c>
      <c r="G21" s="9" t="s">
        <v>35</v>
      </c>
      <c r="H21" s="9"/>
      <c r="I21" s="9"/>
      <c r="J21" s="9" t="s">
        <v>150</v>
      </c>
      <c r="K21" s="9" t="s">
        <v>85</v>
      </c>
      <c r="L21" s="9"/>
    </row>
    <row r="22" customFormat="false" ht="90" hidden="false" customHeight="true" outlineLevel="0" collapsed="false">
      <c r="A22" s="10" t="s">
        <v>151</v>
      </c>
      <c r="B22" s="10" t="s">
        <v>152</v>
      </c>
      <c r="C22" s="10" t="s">
        <v>153</v>
      </c>
      <c r="D22" s="10" t="s">
        <v>154</v>
      </c>
      <c r="E22" s="10" t="s">
        <v>155</v>
      </c>
      <c r="F22" s="10" t="s">
        <v>156</v>
      </c>
      <c r="G22" s="10" t="s">
        <v>35</v>
      </c>
      <c r="H22" s="10"/>
      <c r="I22" s="10"/>
      <c r="J22" s="10" t="s">
        <v>157</v>
      </c>
      <c r="K22" s="10" t="s">
        <v>158</v>
      </c>
      <c r="L22" s="10"/>
    </row>
    <row r="23" customFormat="false" ht="90" hidden="false" customHeight="true" outlineLevel="0" collapsed="false">
      <c r="A23" s="10" t="s">
        <v>159</v>
      </c>
      <c r="B23" s="10" t="s">
        <v>152</v>
      </c>
      <c r="C23" s="10" t="s">
        <v>160</v>
      </c>
      <c r="D23" s="10" t="s">
        <v>76</v>
      </c>
      <c r="E23" s="10" t="s">
        <v>161</v>
      </c>
      <c r="F23" s="10" t="s">
        <v>34</v>
      </c>
      <c r="G23" s="10" t="s">
        <v>35</v>
      </c>
      <c r="H23" s="10"/>
      <c r="I23" s="10"/>
      <c r="J23" s="10" t="s">
        <v>162</v>
      </c>
      <c r="K23" s="10" t="s">
        <v>137</v>
      </c>
      <c r="L23" s="10"/>
    </row>
    <row r="24" customFormat="false" ht="90" hidden="false" customHeight="true" outlineLevel="0" collapsed="false">
      <c r="A24" s="10" t="s">
        <v>163</v>
      </c>
      <c r="B24" s="10" t="s">
        <v>152</v>
      </c>
      <c r="C24" s="10" t="s">
        <v>164</v>
      </c>
      <c r="D24" s="10" t="s">
        <v>76</v>
      </c>
      <c r="E24" s="10" t="s">
        <v>165</v>
      </c>
      <c r="F24" s="10" t="s">
        <v>34</v>
      </c>
      <c r="G24" s="10" t="s">
        <v>35</v>
      </c>
      <c r="H24" s="10"/>
      <c r="I24" s="10"/>
      <c r="J24" s="10" t="s">
        <v>60</v>
      </c>
      <c r="K24" s="10" t="s">
        <v>85</v>
      </c>
      <c r="L24" s="10"/>
    </row>
    <row r="25" customFormat="false" ht="90" hidden="false" customHeight="true" outlineLevel="0" collapsed="false">
      <c r="A25" s="10" t="s">
        <v>166</v>
      </c>
      <c r="B25" s="10" t="s">
        <v>152</v>
      </c>
      <c r="C25" s="10" t="s">
        <v>167</v>
      </c>
      <c r="D25" s="10" t="s">
        <v>168</v>
      </c>
      <c r="E25" s="10" t="s">
        <v>169</v>
      </c>
      <c r="F25" s="10" t="s">
        <v>34</v>
      </c>
      <c r="G25" s="10" t="s">
        <v>35</v>
      </c>
      <c r="H25" s="10"/>
      <c r="I25" s="10"/>
      <c r="J25" s="10" t="s">
        <v>170</v>
      </c>
      <c r="K25" s="10" t="s">
        <v>85</v>
      </c>
      <c r="L25" s="10"/>
    </row>
    <row r="26" customFormat="false" ht="90" hidden="false" customHeight="true" outlineLevel="0" collapsed="false">
      <c r="A26" s="10" t="s">
        <v>171</v>
      </c>
      <c r="B26" s="10" t="s">
        <v>152</v>
      </c>
      <c r="C26" s="10" t="s">
        <v>172</v>
      </c>
      <c r="D26" s="10" t="s">
        <v>173</v>
      </c>
      <c r="E26" s="10" t="s">
        <v>174</v>
      </c>
      <c r="F26" s="10" t="s">
        <v>34</v>
      </c>
      <c r="G26" s="10" t="s">
        <v>35</v>
      </c>
      <c r="H26" s="10"/>
      <c r="I26" s="10"/>
      <c r="J26" s="10" t="s">
        <v>175</v>
      </c>
      <c r="K26" s="10" t="s">
        <v>176</v>
      </c>
      <c r="L26" s="10"/>
    </row>
    <row r="27" customFormat="false" ht="90" hidden="false" customHeight="true" outlineLevel="0" collapsed="false">
      <c r="A27" s="10" t="s">
        <v>177</v>
      </c>
      <c r="B27" s="10" t="s">
        <v>152</v>
      </c>
      <c r="C27" s="10" t="s">
        <v>178</v>
      </c>
      <c r="D27" s="10" t="s">
        <v>179</v>
      </c>
      <c r="E27" s="10" t="s">
        <v>180</v>
      </c>
      <c r="F27" s="10" t="s">
        <v>34</v>
      </c>
      <c r="G27" s="10" t="s">
        <v>35</v>
      </c>
      <c r="H27" s="10"/>
      <c r="I27" s="10"/>
      <c r="J27" s="10" t="s">
        <v>150</v>
      </c>
      <c r="K27" s="10" t="s">
        <v>85</v>
      </c>
      <c r="L27" s="10"/>
    </row>
    <row r="28" customFormat="false" ht="90" hidden="false" customHeight="true" outlineLevel="0" collapsed="false">
      <c r="A28" s="10" t="s">
        <v>181</v>
      </c>
      <c r="B28" s="10" t="s">
        <v>152</v>
      </c>
      <c r="C28" s="10" t="s">
        <v>182</v>
      </c>
      <c r="D28" s="10" t="s">
        <v>183</v>
      </c>
      <c r="E28" s="10" t="s">
        <v>184</v>
      </c>
      <c r="F28" s="10" t="s">
        <v>34</v>
      </c>
      <c r="G28" s="10" t="s">
        <v>35</v>
      </c>
      <c r="H28" s="10"/>
      <c r="I28" s="10"/>
      <c r="J28" s="10" t="s">
        <v>150</v>
      </c>
      <c r="K28" s="10" t="s">
        <v>85</v>
      </c>
      <c r="L28" s="10"/>
    </row>
    <row r="29" customFormat="false" ht="90" hidden="false" customHeight="true" outlineLevel="0" collapsed="false">
      <c r="A29" s="10" t="s">
        <v>185</v>
      </c>
      <c r="B29" s="10" t="s">
        <v>152</v>
      </c>
      <c r="C29" s="10" t="s">
        <v>186</v>
      </c>
      <c r="D29" s="10" t="s">
        <v>187</v>
      </c>
      <c r="E29" s="10" t="s">
        <v>188</v>
      </c>
      <c r="F29" s="10" t="s">
        <v>34</v>
      </c>
      <c r="G29" s="10" t="s">
        <v>35</v>
      </c>
      <c r="H29" s="10"/>
      <c r="I29" s="10"/>
      <c r="J29" s="10" t="s">
        <v>60</v>
      </c>
      <c r="K29" s="10" t="s">
        <v>85</v>
      </c>
      <c r="L29" s="10"/>
    </row>
    <row r="30" customFormat="false" ht="90" hidden="false" customHeight="true" outlineLevel="0" collapsed="false">
      <c r="A30" s="10" t="s">
        <v>189</v>
      </c>
      <c r="B30" s="10" t="s">
        <v>152</v>
      </c>
      <c r="C30" s="10" t="s">
        <v>190</v>
      </c>
      <c r="D30" s="10" t="s">
        <v>191</v>
      </c>
      <c r="E30" s="10" t="s">
        <v>192</v>
      </c>
      <c r="F30" s="10" t="s">
        <v>34</v>
      </c>
      <c r="G30" s="10" t="s">
        <v>35</v>
      </c>
      <c r="H30" s="10"/>
      <c r="I30" s="10"/>
      <c r="J30" s="10" t="s">
        <v>193</v>
      </c>
      <c r="K30" s="10" t="s">
        <v>85</v>
      </c>
      <c r="L30" s="10"/>
    </row>
    <row r="31" customFormat="false" ht="90" hidden="false" customHeight="true" outlineLevel="0" collapsed="false">
      <c r="A31" s="10" t="s">
        <v>194</v>
      </c>
      <c r="B31" s="10" t="s">
        <v>152</v>
      </c>
      <c r="C31" s="10" t="s">
        <v>195</v>
      </c>
      <c r="D31" s="10" t="s">
        <v>40</v>
      </c>
      <c r="E31" s="10" t="s">
        <v>196</v>
      </c>
      <c r="F31" s="10" t="s">
        <v>34</v>
      </c>
      <c r="G31" s="10" t="s">
        <v>35</v>
      </c>
      <c r="H31" s="10"/>
      <c r="I31" s="10"/>
      <c r="J31" s="10" t="s">
        <v>197</v>
      </c>
      <c r="K31" s="10" t="s">
        <v>85</v>
      </c>
      <c r="L31" s="10"/>
    </row>
    <row r="32" customFormat="false" ht="90" hidden="false" customHeight="true" outlineLevel="0" collapsed="false">
      <c r="A32" s="10" t="s">
        <v>198</v>
      </c>
      <c r="B32" s="10" t="s">
        <v>152</v>
      </c>
      <c r="C32" s="10" t="s">
        <v>199</v>
      </c>
      <c r="D32" s="10" t="s">
        <v>102</v>
      </c>
      <c r="E32" s="10" t="s">
        <v>200</v>
      </c>
      <c r="F32" s="10" t="s">
        <v>34</v>
      </c>
      <c r="G32" s="10" t="s">
        <v>35</v>
      </c>
      <c r="H32" s="10"/>
      <c r="I32" s="10"/>
      <c r="J32" s="10" t="s">
        <v>201</v>
      </c>
      <c r="K32" s="10" t="s">
        <v>202</v>
      </c>
      <c r="L32" s="10"/>
    </row>
    <row r="33" customFormat="false" ht="90" hidden="false" customHeight="true" outlineLevel="0" collapsed="false">
      <c r="A33" s="10" t="s">
        <v>203</v>
      </c>
      <c r="B33" s="10" t="s">
        <v>152</v>
      </c>
      <c r="C33" s="10" t="s">
        <v>204</v>
      </c>
      <c r="D33" s="10" t="s">
        <v>205</v>
      </c>
      <c r="E33" s="10" t="s">
        <v>206</v>
      </c>
      <c r="F33" s="10" t="s">
        <v>34</v>
      </c>
      <c r="G33" s="10" t="s">
        <v>35</v>
      </c>
      <c r="H33" s="10"/>
      <c r="I33" s="10"/>
      <c r="J33" s="10" t="s">
        <v>207</v>
      </c>
      <c r="K33" s="10" t="s">
        <v>208</v>
      </c>
      <c r="L33" s="10"/>
    </row>
    <row r="34" customFormat="false" ht="90" hidden="false" customHeight="true" outlineLevel="0" collapsed="false">
      <c r="A34" s="10" t="s">
        <v>209</v>
      </c>
      <c r="B34" s="10" t="s">
        <v>152</v>
      </c>
      <c r="C34" s="10" t="s">
        <v>210</v>
      </c>
      <c r="D34" s="10" t="s">
        <v>113</v>
      </c>
      <c r="E34" s="10" t="s">
        <v>211</v>
      </c>
      <c r="F34" s="10" t="s">
        <v>34</v>
      </c>
      <c r="G34" s="10" t="s">
        <v>35</v>
      </c>
      <c r="H34" s="10"/>
      <c r="I34" s="10"/>
      <c r="J34" s="10" t="s">
        <v>175</v>
      </c>
      <c r="K34" s="10" t="s">
        <v>85</v>
      </c>
      <c r="L34" s="10"/>
    </row>
    <row r="35" customFormat="false" ht="90" hidden="false" customHeight="true" outlineLevel="0" collapsed="false">
      <c r="A35" s="10" t="s">
        <v>212</v>
      </c>
      <c r="B35" s="10" t="s">
        <v>152</v>
      </c>
      <c r="C35" s="10" t="s">
        <v>213</v>
      </c>
      <c r="D35" s="10" t="s">
        <v>214</v>
      </c>
      <c r="E35" s="10" t="s">
        <v>215</v>
      </c>
      <c r="F35" s="10" t="s">
        <v>34</v>
      </c>
      <c r="G35" s="10" t="s">
        <v>35</v>
      </c>
      <c r="H35" s="10"/>
      <c r="I35" s="10"/>
      <c r="J35" s="10" t="s">
        <v>216</v>
      </c>
      <c r="K35" s="10" t="s">
        <v>85</v>
      </c>
      <c r="L35" s="10"/>
    </row>
    <row r="36" customFormat="false" ht="90" hidden="false" customHeight="true" outlineLevel="0" collapsed="false">
      <c r="A36" s="10" t="s">
        <v>217</v>
      </c>
      <c r="B36" s="10" t="s">
        <v>152</v>
      </c>
      <c r="C36" s="10" t="s">
        <v>218</v>
      </c>
      <c r="D36" s="10" t="s">
        <v>219</v>
      </c>
      <c r="E36" s="10" t="s">
        <v>220</v>
      </c>
      <c r="F36" s="10" t="s">
        <v>96</v>
      </c>
      <c r="G36" s="10" t="s">
        <v>35</v>
      </c>
      <c r="H36" s="10"/>
      <c r="I36" s="10"/>
      <c r="J36" s="10" t="s">
        <v>60</v>
      </c>
      <c r="K36" s="10" t="s">
        <v>98</v>
      </c>
      <c r="L36" s="10" t="s">
        <v>221</v>
      </c>
    </row>
    <row r="37" customFormat="false" ht="90" hidden="false" customHeight="true" outlineLevel="0" collapsed="false">
      <c r="A37" s="10" t="s">
        <v>222</v>
      </c>
      <c r="B37" s="10" t="s">
        <v>152</v>
      </c>
      <c r="C37" s="10" t="s">
        <v>223</v>
      </c>
      <c r="D37" s="10" t="s">
        <v>179</v>
      </c>
      <c r="E37" s="10" t="s">
        <v>224</v>
      </c>
      <c r="F37" s="10" t="s">
        <v>34</v>
      </c>
      <c r="G37" s="10" t="s">
        <v>35</v>
      </c>
      <c r="H37" s="10"/>
      <c r="I37" s="10"/>
      <c r="J37" s="10" t="s">
        <v>150</v>
      </c>
      <c r="K37" s="10" t="s">
        <v>85</v>
      </c>
      <c r="L37" s="10"/>
    </row>
    <row r="38" customFormat="false" ht="90" hidden="false" customHeight="true" outlineLevel="0" collapsed="false">
      <c r="A38" s="10" t="s">
        <v>225</v>
      </c>
      <c r="B38" s="10" t="s">
        <v>152</v>
      </c>
      <c r="C38" s="10" t="s">
        <v>226</v>
      </c>
      <c r="D38" s="10" t="s">
        <v>227</v>
      </c>
      <c r="E38" s="10" t="s">
        <v>228</v>
      </c>
      <c r="F38" s="10" t="s">
        <v>34</v>
      </c>
      <c r="G38" s="10" t="s">
        <v>35</v>
      </c>
      <c r="H38" s="10"/>
      <c r="I38" s="10"/>
      <c r="J38" s="10" t="s">
        <v>229</v>
      </c>
      <c r="K38" s="10" t="s">
        <v>230</v>
      </c>
      <c r="L38" s="10"/>
    </row>
    <row r="39" customFormat="false" ht="90" hidden="false" customHeight="true" outlineLevel="0" collapsed="false">
      <c r="A39" s="10" t="s">
        <v>231</v>
      </c>
      <c r="B39" s="10" t="s">
        <v>152</v>
      </c>
      <c r="C39" s="10" t="s">
        <v>232</v>
      </c>
      <c r="D39" s="10" t="s">
        <v>233</v>
      </c>
      <c r="E39" s="10" t="s">
        <v>234</v>
      </c>
      <c r="F39" s="10" t="s">
        <v>34</v>
      </c>
      <c r="G39" s="10" t="s">
        <v>35</v>
      </c>
      <c r="H39" s="10"/>
      <c r="I39" s="10"/>
      <c r="J39" s="10" t="s">
        <v>216</v>
      </c>
      <c r="K39" s="10" t="s">
        <v>85</v>
      </c>
      <c r="L39" s="10"/>
    </row>
    <row r="40" customFormat="false" ht="90" hidden="false" customHeight="true" outlineLevel="0" collapsed="false">
      <c r="A40" s="10" t="s">
        <v>235</v>
      </c>
      <c r="B40" s="10" t="s">
        <v>152</v>
      </c>
      <c r="C40" s="10" t="s">
        <v>236</v>
      </c>
      <c r="D40" s="10" t="s">
        <v>237</v>
      </c>
      <c r="E40" s="10" t="s">
        <v>238</v>
      </c>
      <c r="F40" s="10" t="s">
        <v>34</v>
      </c>
      <c r="G40" s="10" t="s">
        <v>35</v>
      </c>
      <c r="H40" s="10"/>
      <c r="I40" s="10"/>
      <c r="J40" s="10" t="s">
        <v>136</v>
      </c>
      <c r="K40" s="10" t="s">
        <v>85</v>
      </c>
      <c r="L40" s="10"/>
    </row>
    <row r="41" customFormat="false" ht="90" hidden="false" customHeight="true" outlineLevel="0" collapsed="false">
      <c r="A41" s="10" t="s">
        <v>239</v>
      </c>
      <c r="B41" s="10" t="s">
        <v>152</v>
      </c>
      <c r="C41" s="10" t="s">
        <v>240</v>
      </c>
      <c r="D41" s="10" t="s">
        <v>241</v>
      </c>
      <c r="E41" s="10" t="s">
        <v>242</v>
      </c>
      <c r="F41" s="10" t="s">
        <v>34</v>
      </c>
      <c r="G41" s="10" t="s">
        <v>35</v>
      </c>
      <c r="H41" s="10"/>
      <c r="I41" s="10"/>
      <c r="J41" s="10" t="s">
        <v>243</v>
      </c>
      <c r="K41" s="10" t="s">
        <v>244</v>
      </c>
      <c r="L41" s="10"/>
    </row>
    <row r="42" customFormat="false" ht="90" hidden="false" customHeight="true" outlineLevel="0" collapsed="false">
      <c r="A42" s="10" t="s">
        <v>245</v>
      </c>
      <c r="B42" s="10" t="s">
        <v>152</v>
      </c>
      <c r="C42" s="10" t="s">
        <v>246</v>
      </c>
      <c r="D42" s="10" t="s">
        <v>247</v>
      </c>
      <c r="E42" s="10" t="s">
        <v>248</v>
      </c>
      <c r="F42" s="10" t="s">
        <v>34</v>
      </c>
      <c r="G42" s="10" t="s">
        <v>35</v>
      </c>
      <c r="H42" s="10"/>
      <c r="I42" s="10"/>
      <c r="J42" s="10" t="s">
        <v>60</v>
      </c>
      <c r="K42" s="10" t="s">
        <v>85</v>
      </c>
      <c r="L42" s="10"/>
    </row>
    <row r="43" customFormat="false" ht="90" hidden="false" customHeight="true" outlineLevel="0" collapsed="false">
      <c r="A43" s="10" t="s">
        <v>249</v>
      </c>
      <c r="B43" s="10" t="s">
        <v>152</v>
      </c>
      <c r="C43" s="10" t="s">
        <v>250</v>
      </c>
      <c r="D43" s="10" t="s">
        <v>251</v>
      </c>
      <c r="E43" s="10" t="s">
        <v>252</v>
      </c>
      <c r="F43" s="10" t="s">
        <v>34</v>
      </c>
      <c r="G43" s="10" t="s">
        <v>35</v>
      </c>
      <c r="H43" s="10"/>
      <c r="I43" s="10"/>
      <c r="J43" s="10" t="s">
        <v>253</v>
      </c>
      <c r="K43" s="10" t="s">
        <v>85</v>
      </c>
      <c r="L43" s="10"/>
    </row>
    <row r="44" customFormat="false" ht="90" hidden="false" customHeight="true" outlineLevel="0" collapsed="false">
      <c r="A44" s="10" t="s">
        <v>254</v>
      </c>
      <c r="B44" s="10" t="s">
        <v>152</v>
      </c>
      <c r="C44" s="10" t="s">
        <v>255</v>
      </c>
      <c r="D44" s="10" t="s">
        <v>168</v>
      </c>
      <c r="E44" s="10" t="s">
        <v>256</v>
      </c>
      <c r="F44" s="10" t="s">
        <v>34</v>
      </c>
      <c r="G44" s="10" t="s">
        <v>35</v>
      </c>
      <c r="H44" s="10"/>
      <c r="I44" s="10"/>
      <c r="J44" s="10" t="s">
        <v>60</v>
      </c>
      <c r="K44" s="10" t="s">
        <v>85</v>
      </c>
      <c r="L44" s="10"/>
    </row>
    <row r="45" customFormat="false" ht="90" hidden="false" customHeight="true" outlineLevel="0" collapsed="false">
      <c r="A45" s="10" t="s">
        <v>257</v>
      </c>
      <c r="B45" s="10" t="s">
        <v>152</v>
      </c>
      <c r="C45" s="10" t="s">
        <v>258</v>
      </c>
      <c r="D45" s="10" t="s">
        <v>128</v>
      </c>
      <c r="E45" s="10" t="s">
        <v>259</v>
      </c>
      <c r="F45" s="10" t="s">
        <v>34</v>
      </c>
      <c r="G45" s="10" t="s">
        <v>35</v>
      </c>
      <c r="H45" s="10"/>
      <c r="I45" s="10"/>
      <c r="J45" s="10" t="s">
        <v>170</v>
      </c>
      <c r="K45" s="10" t="s">
        <v>85</v>
      </c>
      <c r="L45" s="10"/>
    </row>
    <row r="46" customFormat="false" ht="90" hidden="false" customHeight="true" outlineLevel="0" collapsed="false">
      <c r="A46" s="10" t="s">
        <v>260</v>
      </c>
      <c r="B46" s="10" t="s">
        <v>152</v>
      </c>
      <c r="C46" s="10" t="s">
        <v>261</v>
      </c>
      <c r="D46" s="10" t="s">
        <v>262</v>
      </c>
      <c r="E46" s="10" t="s">
        <v>263</v>
      </c>
      <c r="F46" s="10" t="s">
        <v>34</v>
      </c>
      <c r="G46" s="10" t="s">
        <v>35</v>
      </c>
      <c r="H46" s="10"/>
      <c r="I46" s="10"/>
      <c r="J46" s="10" t="s">
        <v>264</v>
      </c>
      <c r="K46" s="10" t="s">
        <v>265</v>
      </c>
      <c r="L46" s="10"/>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32"/>
    <col collapsed="false" customWidth="true" hidden="false" outlineLevel="0" max="4" min="4" style="0" width="36"/>
    <col collapsed="false" customWidth="true" hidden="false" outlineLevel="0" max="5" min="5" style="0" width="50"/>
  </cols>
  <sheetData>
    <row r="1" customFormat="false" ht="19.7" hidden="false" customHeight="false" outlineLevel="0" collapsed="false">
      <c r="A1" s="11" t="s">
        <v>266</v>
      </c>
      <c r="B1" s="11"/>
      <c r="C1" s="11"/>
      <c r="D1" s="11"/>
      <c r="E1" s="11"/>
    </row>
    <row r="3" customFormat="false" ht="15" hidden="false" customHeight="true" outlineLevel="0" collapsed="false">
      <c r="A3" s="12" t="s">
        <v>267</v>
      </c>
      <c r="B3" s="12"/>
      <c r="C3" s="12"/>
      <c r="D3" s="12"/>
      <c r="E3" s="12"/>
    </row>
    <row r="4" customFormat="false" ht="15" hidden="false" customHeight="false" outlineLevel="0" collapsed="false">
      <c r="A4" s="12"/>
      <c r="B4" s="12"/>
      <c r="C4" s="12"/>
      <c r="D4" s="12"/>
      <c r="E4" s="12"/>
    </row>
    <row r="5" customFormat="false" ht="15" hidden="false" customHeight="false" outlineLevel="0" collapsed="false">
      <c r="A5" s="12"/>
      <c r="B5" s="12"/>
      <c r="C5" s="12"/>
      <c r="D5" s="12"/>
      <c r="E5" s="12"/>
    </row>
    <row r="7" customFormat="false" ht="15" hidden="false" customHeight="false" outlineLevel="0" collapsed="false">
      <c r="A7" s="13" t="s">
        <v>268</v>
      </c>
      <c r="B7" s="13" t="s">
        <v>269</v>
      </c>
      <c r="C7" s="13" t="s">
        <v>270</v>
      </c>
      <c r="D7" s="13" t="s">
        <v>271</v>
      </c>
      <c r="E7" s="13" t="s">
        <v>28</v>
      </c>
    </row>
    <row r="8" customFormat="false" ht="49.5" hidden="false" customHeight="true" outlineLevel="0" collapsed="false">
      <c r="A8" s="14" t="s">
        <v>272</v>
      </c>
      <c r="B8" s="14" t="s">
        <v>273</v>
      </c>
      <c r="C8" s="14" t="s">
        <v>274</v>
      </c>
      <c r="D8" s="14" t="s">
        <v>275</v>
      </c>
      <c r="E8" s="14" t="s">
        <v>276</v>
      </c>
    </row>
    <row r="9" customFormat="false" ht="49.5" hidden="false" customHeight="true" outlineLevel="0" collapsed="false">
      <c r="A9" s="14" t="s">
        <v>277</v>
      </c>
      <c r="B9" s="14" t="s">
        <v>278</v>
      </c>
      <c r="C9" s="14" t="s">
        <v>279</v>
      </c>
      <c r="D9" s="14" t="s">
        <v>280</v>
      </c>
      <c r="E9" s="14" t="s">
        <v>281</v>
      </c>
    </row>
    <row r="10" customFormat="false" ht="49.5" hidden="false" customHeight="true" outlineLevel="0" collapsed="false">
      <c r="A10" s="14" t="s">
        <v>282</v>
      </c>
      <c r="B10" s="14" t="s">
        <v>283</v>
      </c>
      <c r="C10" s="14" t="s">
        <v>284</v>
      </c>
      <c r="D10" s="14" t="s">
        <v>285</v>
      </c>
      <c r="E10" s="14" t="s">
        <v>286</v>
      </c>
    </row>
    <row r="11" customFormat="false" ht="49.5" hidden="false" customHeight="true" outlineLevel="0" collapsed="false">
      <c r="A11" s="14" t="s">
        <v>287</v>
      </c>
      <c r="B11" s="14" t="s">
        <v>288</v>
      </c>
      <c r="C11" s="14" t="s">
        <v>289</v>
      </c>
      <c r="D11" s="14" t="s">
        <v>290</v>
      </c>
      <c r="E11" s="14" t="s">
        <v>291</v>
      </c>
    </row>
    <row r="12" customFormat="false" ht="49.5" hidden="false" customHeight="true" outlineLevel="0" collapsed="false">
      <c r="A12" s="14" t="s">
        <v>292</v>
      </c>
      <c r="B12" s="14" t="s">
        <v>293</v>
      </c>
      <c r="C12" s="14" t="s">
        <v>294</v>
      </c>
      <c r="D12" s="14" t="s">
        <v>295</v>
      </c>
      <c r="E12" s="14" t="s">
        <v>296</v>
      </c>
    </row>
    <row r="13" customFormat="false" ht="49.5" hidden="false" customHeight="true" outlineLevel="0" collapsed="false">
      <c r="A13" s="14" t="s">
        <v>297</v>
      </c>
      <c r="B13" s="14" t="s">
        <v>298</v>
      </c>
      <c r="C13" s="14" t="s">
        <v>299</v>
      </c>
      <c r="D13" s="14" t="s">
        <v>300</v>
      </c>
      <c r="E13" s="14" t="s">
        <v>301</v>
      </c>
    </row>
    <row r="14" customFormat="false" ht="49.5" hidden="false" customHeight="true" outlineLevel="0" collapsed="false">
      <c r="A14" s="14" t="s">
        <v>302</v>
      </c>
      <c r="B14" s="14" t="s">
        <v>303</v>
      </c>
      <c r="C14" s="14" t="s">
        <v>304</v>
      </c>
      <c r="D14" s="14" t="s">
        <v>305</v>
      </c>
      <c r="E14" s="14" t="s">
        <v>306</v>
      </c>
    </row>
    <row r="15" customFormat="false" ht="49.5" hidden="false" customHeight="true" outlineLevel="0" collapsed="false">
      <c r="A15" s="14" t="s">
        <v>307</v>
      </c>
      <c r="B15" s="14" t="s">
        <v>308</v>
      </c>
      <c r="C15" s="14" t="s">
        <v>309</v>
      </c>
      <c r="D15" s="14" t="s">
        <v>310</v>
      </c>
      <c r="E15" s="14" t="s">
        <v>311</v>
      </c>
    </row>
    <row r="16" customFormat="false" ht="49.5" hidden="false" customHeight="true" outlineLevel="0" collapsed="false">
      <c r="A16" s="14" t="s">
        <v>312</v>
      </c>
      <c r="B16" s="14" t="s">
        <v>313</v>
      </c>
      <c r="C16" s="14" t="s">
        <v>314</v>
      </c>
      <c r="D16" s="14" t="s">
        <v>315</v>
      </c>
      <c r="E16" s="14" t="s">
        <v>316</v>
      </c>
    </row>
  </sheetData>
  <mergeCells count="2">
    <mergeCell ref="A1:E1"/>
    <mergeCell ref="A3:E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50"/>
    <col collapsed="false" customWidth="true" hidden="false" outlineLevel="0" max="3" min="3" style="0" width="60"/>
  </cols>
  <sheetData>
    <row r="1" customFormat="false" ht="19.7" hidden="false" customHeight="false" outlineLevel="0" collapsed="false">
      <c r="A1" s="11" t="s">
        <v>317</v>
      </c>
      <c r="B1" s="11"/>
      <c r="C1" s="11"/>
    </row>
    <row r="3" customFormat="false" ht="15" hidden="false" customHeight="true" outlineLevel="0" collapsed="false">
      <c r="A3" s="12" t="s">
        <v>318</v>
      </c>
      <c r="B3" s="12"/>
      <c r="C3" s="12"/>
    </row>
    <row r="4" customFormat="false" ht="15" hidden="false" customHeight="false" outlineLevel="0" collapsed="false">
      <c r="A4" s="12"/>
      <c r="B4" s="12"/>
      <c r="C4" s="12"/>
    </row>
    <row r="5" customFormat="false" ht="15" hidden="false" customHeight="false" outlineLevel="0" collapsed="false">
      <c r="A5" s="12"/>
      <c r="B5" s="12"/>
      <c r="C5" s="12"/>
    </row>
    <row r="7" customFormat="false" ht="15" hidden="false" customHeight="false" outlineLevel="0" collapsed="false">
      <c r="A7" s="15" t="s">
        <v>319</v>
      </c>
      <c r="B7" s="15" t="s">
        <v>320</v>
      </c>
      <c r="C7" s="15" t="s">
        <v>321</v>
      </c>
    </row>
    <row r="8" customFormat="false" ht="60" hidden="false" customHeight="true" outlineLevel="0" collapsed="false">
      <c r="A8" s="14" t="s">
        <v>322</v>
      </c>
      <c r="B8" s="14" t="s">
        <v>323</v>
      </c>
      <c r="C8" s="14" t="s">
        <v>324</v>
      </c>
    </row>
    <row r="9" customFormat="false" ht="60" hidden="false" customHeight="true" outlineLevel="0" collapsed="false">
      <c r="A9" s="14" t="s">
        <v>325</v>
      </c>
      <c r="B9" s="14" t="s">
        <v>326</v>
      </c>
      <c r="C9" s="14" t="s">
        <v>327</v>
      </c>
    </row>
    <row r="10" customFormat="false" ht="60" hidden="false" customHeight="true" outlineLevel="0" collapsed="false">
      <c r="A10" s="14" t="s">
        <v>328</v>
      </c>
      <c r="B10" s="14" t="s">
        <v>329</v>
      </c>
      <c r="C10" s="14" t="s">
        <v>330</v>
      </c>
    </row>
    <row r="11" customFormat="false" ht="60" hidden="false" customHeight="true" outlineLevel="0" collapsed="false">
      <c r="A11" s="14" t="s">
        <v>331</v>
      </c>
      <c r="B11" s="14" t="s">
        <v>332</v>
      </c>
      <c r="C11" s="14" t="s">
        <v>333</v>
      </c>
    </row>
    <row r="12" customFormat="false" ht="60" hidden="false" customHeight="true" outlineLevel="0" collapsed="false">
      <c r="A12" s="14" t="s">
        <v>334</v>
      </c>
      <c r="B12" s="14" t="s">
        <v>335</v>
      </c>
      <c r="C12" s="14" t="s">
        <v>336</v>
      </c>
    </row>
    <row r="13" customFormat="false" ht="60" hidden="false" customHeight="true" outlineLevel="0" collapsed="false">
      <c r="A13" s="14" t="s">
        <v>337</v>
      </c>
      <c r="B13" s="14" t="s">
        <v>338</v>
      </c>
      <c r="C13" s="14" t="s">
        <v>339</v>
      </c>
    </row>
    <row r="14" customFormat="false" ht="60" hidden="false" customHeight="true" outlineLevel="0" collapsed="false">
      <c r="A14" s="14" t="s">
        <v>340</v>
      </c>
      <c r="B14" s="14" t="s">
        <v>341</v>
      </c>
      <c r="C14" s="14" t="s">
        <v>342</v>
      </c>
    </row>
    <row r="15" customFormat="false" ht="60" hidden="false" customHeight="true" outlineLevel="0" collapsed="false">
      <c r="A15" s="14" t="s">
        <v>343</v>
      </c>
      <c r="B15" s="14" t="s">
        <v>344</v>
      </c>
      <c r="C15" s="14" t="s">
        <v>345</v>
      </c>
    </row>
  </sheetData>
  <mergeCells count="2">
    <mergeCell ref="A1:C1"/>
    <mergeCell ref="A3:C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50"/>
    <col collapsed="false" customWidth="true" hidden="false" outlineLevel="0" max="3" min="3" style="0" width="28"/>
    <col collapsed="false" customWidth="true" hidden="false" outlineLevel="0" max="4" min="4" style="0" width="45"/>
  </cols>
  <sheetData>
    <row r="1" customFormat="false" ht="19.7" hidden="false" customHeight="false" outlineLevel="0" collapsed="false">
      <c r="A1" s="11" t="s">
        <v>346</v>
      </c>
      <c r="B1" s="11"/>
      <c r="C1" s="11"/>
      <c r="D1" s="11"/>
    </row>
    <row r="3" customFormat="false" ht="15" hidden="false" customHeight="false" outlineLevel="0" collapsed="false">
      <c r="A3" s="13" t="s">
        <v>347</v>
      </c>
      <c r="B3" s="13" t="s">
        <v>348</v>
      </c>
      <c r="C3" s="13" t="s">
        <v>349</v>
      </c>
      <c r="D3" s="13" t="s">
        <v>28</v>
      </c>
    </row>
    <row r="4" customFormat="false" ht="23.85" hidden="false" customHeight="false" outlineLevel="0" collapsed="false">
      <c r="A4" s="14" t="s">
        <v>40</v>
      </c>
      <c r="B4" s="14" t="s">
        <v>350</v>
      </c>
      <c r="C4" s="14" t="s">
        <v>351</v>
      </c>
      <c r="D4" s="14" t="s">
        <v>352</v>
      </c>
    </row>
    <row r="5" customFormat="false" ht="23.85" hidden="false" customHeight="false" outlineLevel="0" collapsed="false">
      <c r="A5" s="14" t="s">
        <v>76</v>
      </c>
      <c r="B5" s="14" t="s">
        <v>353</v>
      </c>
      <c r="C5" s="14" t="s">
        <v>354</v>
      </c>
      <c r="D5" s="14" t="s">
        <v>355</v>
      </c>
    </row>
    <row r="6" customFormat="false" ht="23.85" hidden="false" customHeight="false" outlineLevel="0" collapsed="false">
      <c r="A6" s="14" t="s">
        <v>356</v>
      </c>
      <c r="B6" s="14" t="s">
        <v>357</v>
      </c>
      <c r="C6" s="14" t="s">
        <v>358</v>
      </c>
      <c r="D6" s="14" t="s">
        <v>359</v>
      </c>
    </row>
    <row r="7" customFormat="false" ht="15" hidden="false" customHeight="false" outlineLevel="0" collapsed="false">
      <c r="A7" s="14" t="s">
        <v>64</v>
      </c>
      <c r="B7" s="14" t="s">
        <v>360</v>
      </c>
      <c r="C7" s="14" t="s">
        <v>351</v>
      </c>
      <c r="D7" s="14" t="s">
        <v>361</v>
      </c>
    </row>
    <row r="8" customFormat="false" ht="15" hidden="false" customHeight="false" outlineLevel="0" collapsed="false">
      <c r="A8" s="14" t="s">
        <v>362</v>
      </c>
      <c r="B8" s="14" t="s">
        <v>363</v>
      </c>
      <c r="C8" s="14" t="s">
        <v>364</v>
      </c>
      <c r="D8" s="14" t="s">
        <v>365</v>
      </c>
    </row>
    <row r="9" customFormat="false" ht="15" hidden="false" customHeight="false" outlineLevel="0" collapsed="false">
      <c r="A9" s="14" t="s">
        <v>205</v>
      </c>
      <c r="B9" s="14" t="s">
        <v>366</v>
      </c>
      <c r="C9" s="14" t="s">
        <v>351</v>
      </c>
      <c r="D9" s="14" t="s">
        <v>367</v>
      </c>
    </row>
    <row r="10" customFormat="false" ht="15" hidden="false" customHeight="false" outlineLevel="0" collapsed="false">
      <c r="A10" s="14" t="s">
        <v>368</v>
      </c>
      <c r="B10" s="14" t="s">
        <v>369</v>
      </c>
      <c r="C10" s="14" t="s">
        <v>351</v>
      </c>
      <c r="D10" s="14" t="s">
        <v>370</v>
      </c>
    </row>
    <row r="11" customFormat="false" ht="15" hidden="false" customHeight="false" outlineLevel="0" collapsed="false">
      <c r="A11" s="14" t="s">
        <v>179</v>
      </c>
      <c r="B11" s="14" t="s">
        <v>371</v>
      </c>
      <c r="C11" s="14" t="s">
        <v>372</v>
      </c>
      <c r="D11" s="14" t="s">
        <v>373</v>
      </c>
    </row>
    <row r="12" customFormat="false" ht="23.85" hidden="false" customHeight="false" outlineLevel="0" collapsed="false">
      <c r="A12" s="14" t="s">
        <v>374</v>
      </c>
      <c r="B12" s="14" t="s">
        <v>375</v>
      </c>
      <c r="C12" s="14" t="s">
        <v>376</v>
      </c>
      <c r="D12" s="14" t="s">
        <v>377</v>
      </c>
    </row>
    <row r="13" customFormat="false" ht="15" hidden="false" customHeight="false" outlineLevel="0" collapsed="false">
      <c r="A13" s="14" t="s">
        <v>53</v>
      </c>
      <c r="B13" s="14" t="s">
        <v>378</v>
      </c>
      <c r="C13" s="14" t="s">
        <v>351</v>
      </c>
      <c r="D13" s="14"/>
    </row>
    <row r="14" customFormat="false" ht="15" hidden="false" customHeight="false" outlineLevel="0" collapsed="false">
      <c r="A14" s="14" t="s">
        <v>148</v>
      </c>
      <c r="B14" s="14" t="s">
        <v>379</v>
      </c>
      <c r="C14" s="14" t="s">
        <v>351</v>
      </c>
      <c r="D14" s="14"/>
    </row>
    <row r="15" customFormat="false" ht="15" hidden="false" customHeight="false" outlineLevel="0" collapsed="false">
      <c r="A15" s="14" t="s">
        <v>183</v>
      </c>
      <c r="B15" s="14" t="s">
        <v>380</v>
      </c>
      <c r="C15" s="14" t="s">
        <v>351</v>
      </c>
      <c r="D15" s="14"/>
    </row>
    <row r="16" customFormat="false" ht="15" hidden="false" customHeight="false" outlineLevel="0" collapsed="false">
      <c r="A16" s="14" t="s">
        <v>262</v>
      </c>
      <c r="B16" s="14" t="s">
        <v>381</v>
      </c>
      <c r="C16" s="14" t="s">
        <v>351</v>
      </c>
      <c r="D16" s="14"/>
    </row>
    <row r="17" customFormat="false" ht="15" hidden="false" customHeight="false" outlineLevel="0" collapsed="false">
      <c r="A17" s="14" t="s">
        <v>46</v>
      </c>
      <c r="B17" s="14" t="s">
        <v>382</v>
      </c>
      <c r="C17" s="14" t="s">
        <v>383</v>
      </c>
      <c r="D17" s="14" t="s">
        <v>384</v>
      </c>
    </row>
    <row r="18" customFormat="false" ht="15" hidden="false" customHeight="false" outlineLevel="0" collapsed="false">
      <c r="A18" s="14" t="s">
        <v>247</v>
      </c>
      <c r="B18" s="14" t="s">
        <v>385</v>
      </c>
      <c r="C18" s="14" t="s">
        <v>351</v>
      </c>
      <c r="D18" s="14"/>
    </row>
    <row r="19" customFormat="false" ht="15" hidden="false" customHeight="false" outlineLevel="0" collapsed="false">
      <c r="A19" s="14" t="s">
        <v>386</v>
      </c>
      <c r="B19" s="14" t="s">
        <v>387</v>
      </c>
      <c r="C19" s="14" t="s">
        <v>351</v>
      </c>
      <c r="D19" s="14"/>
    </row>
    <row r="20" customFormat="false" ht="15" hidden="false" customHeight="false" outlineLevel="0" collapsed="false">
      <c r="A20" s="14" t="s">
        <v>388</v>
      </c>
      <c r="B20" s="14" t="s">
        <v>389</v>
      </c>
      <c r="C20" s="14" t="s">
        <v>390</v>
      </c>
      <c r="D20" s="14" t="s">
        <v>391</v>
      </c>
    </row>
    <row r="21" customFormat="false" ht="15" hidden="false" customHeight="false" outlineLevel="0" collapsed="false">
      <c r="A21" s="14" t="s">
        <v>392</v>
      </c>
      <c r="B21" s="14" t="s">
        <v>393</v>
      </c>
      <c r="C21" s="14" t="s">
        <v>390</v>
      </c>
      <c r="D21" s="14" t="s">
        <v>391</v>
      </c>
    </row>
    <row r="22" customFormat="false" ht="23.85" hidden="false" customHeight="false" outlineLevel="0" collapsed="false">
      <c r="A22" s="14" t="s">
        <v>394</v>
      </c>
      <c r="B22" s="14" t="s">
        <v>395</v>
      </c>
      <c r="C22" s="14" t="s">
        <v>396</v>
      </c>
      <c r="D22" s="14" t="s">
        <v>397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2026-05-22T20:51:57Z</dcterms:created>
  <dc:creator>openpyxl</dc:creator>
  <dc:description/>
  <dc:language>en-US</dc:language>
  <cp:lastModifiedBy/>
  <dcterms:modified xsi:type="dcterms:W3CDTF">2026-05-22T20:51:57Z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